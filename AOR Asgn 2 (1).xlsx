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5B157C9-FDDF-4F04-9172-55DB392E6E0A}" xr6:coauthVersionLast="47" xr6:coauthVersionMax="47" xr10:uidLastSave="{00000000-0000-0000-0000-000000000000}"/>
  <bookViews>
    <workbookView xWindow="-108" yWindow="-108" windowWidth="23256" windowHeight="12456" xr2:uid="{2FAF32C5-EF79-43D7-AC78-0617D4B1C3AC}"/>
  </bookViews>
  <sheets>
    <sheet name="Sheet1" sheetId="1" r:id="rId1"/>
  </sheets>
  <definedNames>
    <definedName name="AVERAGE_RETURN">Sheet1!$AL$2:$AL$31</definedName>
    <definedName name="Dev_M1">Sheet1!$AM$2:$AM$31</definedName>
    <definedName name="Dev_M20">Sheet1!$BF$2:$BF$31</definedName>
    <definedName name="Dev_M21">Sheet1!$BG$2:$BG$31</definedName>
    <definedName name="Dev_M22">Sheet1!$BH$2:$BH$31</definedName>
    <definedName name="Dev_M23">Sheet1!$BI$2:$BI$31</definedName>
    <definedName name="Dev_M24">Sheet1!$BJ$2:$BJ$31</definedName>
    <definedName name="Dev_M25">Sheet1!$BK$2:$BK$31</definedName>
    <definedName name="Dev_M26">Sheet1!$BL$2:$BL$31</definedName>
    <definedName name="Dev_M27">Sheet1!$BM$2:$BM$31</definedName>
    <definedName name="Dev_M28">Sheet1!$BN$2:$BN$31</definedName>
    <definedName name="Dev_M29">Sheet1!$BO$2:$BO$31</definedName>
    <definedName name="Dev_M30">Sheet1!$BP$2:$BP$31</definedName>
    <definedName name="Dev_M31">Sheet1!$BQ$2:$BQ$31</definedName>
    <definedName name="Dev_M32">Sheet1!$BR$2:$BR$31</definedName>
    <definedName name="Dev_M33">Sheet1!$BS$2:$BS$31</definedName>
    <definedName name="Dev_M34">Sheet1!$BT$2:$BT$31</definedName>
    <definedName name="Dev_M35">Sheet1!$BU$2:$BU$31</definedName>
    <definedName name="Dev_M36">Sheet1!$BV$2:$BV$31</definedName>
    <definedName name="Investment_Weight__x">Sheet1!$BX$2:$BX$31</definedName>
    <definedName name="solver_adj" localSheetId="0" hidden="1">Sheet1!$BX$2:$BX$31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Sheet1!$BX$32</definedName>
    <definedName name="solver_lhs2" localSheetId="0" hidden="1">Sheet1!$BX$33</definedName>
    <definedName name="solver_lhs3" localSheetId="0" hidden="1">Sheet1!$BX$34</definedName>
    <definedName name="solver_lhs4" localSheetId="0" hidden="1">Sheet1!$CB$8</definedName>
    <definedName name="solver_lhs5" localSheetId="0" hidden="1">Sheet1!$BX$2:$BX$31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Sheet1!$BZ$2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hs1" localSheetId="0" hidden="1">1</definedName>
    <definedName name="solver_rhs2" localSheetId="0" hidden="1">0.0067</definedName>
    <definedName name="solver_rhs3" localSheetId="0" hidden="1">Sheet1!$CA$32</definedName>
    <definedName name="solver_rhs4" localSheetId="0" hidden="1">5</definedName>
    <definedName name="solver_rhs5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Weighted_monthly_deviation">Sheet1!$BY$2:$BY$37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33" i="1" l="1"/>
  <c r="BX32" i="1"/>
  <c r="BY2" i="1"/>
  <c r="CB7" i="1"/>
  <c r="CB6" i="1"/>
  <c r="CB5" i="1"/>
  <c r="CB4" i="1"/>
  <c r="CB3" i="1"/>
  <c r="CB2" i="1"/>
  <c r="BX34" i="1"/>
  <c r="CA32" i="1"/>
  <c r="BV31" i="1"/>
  <c r="BU31" i="1"/>
  <c r="BT31" i="1"/>
  <c r="BS31" i="1"/>
  <c r="BQ31" i="1"/>
  <c r="BP31" i="1"/>
  <c r="BN31" i="1"/>
  <c r="BM31" i="1"/>
  <c r="BL31" i="1"/>
  <c r="BK31" i="1"/>
  <c r="BI31" i="1"/>
  <c r="BH31" i="1"/>
  <c r="BF31" i="1"/>
  <c r="BE31" i="1"/>
  <c r="BD31" i="1"/>
  <c r="BC31" i="1"/>
  <c r="BA31" i="1"/>
  <c r="AZ31" i="1"/>
  <c r="AX31" i="1"/>
  <c r="AW31" i="1"/>
  <c r="AV31" i="1"/>
  <c r="AU31" i="1"/>
  <c r="AS31" i="1"/>
  <c r="AR31" i="1"/>
  <c r="AP31" i="1"/>
  <c r="AO31" i="1"/>
  <c r="AN31" i="1"/>
  <c r="AM31" i="1"/>
  <c r="AL31" i="1"/>
  <c r="BO31" i="1" s="1"/>
  <c r="BV30" i="1"/>
  <c r="BQ30" i="1"/>
  <c r="BO30" i="1"/>
  <c r="BN30" i="1"/>
  <c r="BL30" i="1"/>
  <c r="BK30" i="1"/>
  <c r="BF30" i="1"/>
  <c r="BD30" i="1"/>
  <c r="BC30" i="1"/>
  <c r="BB30" i="1"/>
  <c r="BA30" i="1"/>
  <c r="AU30" i="1"/>
  <c r="AT30" i="1"/>
  <c r="AS30" i="1"/>
  <c r="AQ30" i="1"/>
  <c r="AP30" i="1"/>
  <c r="AL30" i="1"/>
  <c r="BT29" i="1"/>
  <c r="BR29" i="1"/>
  <c r="BQ29" i="1"/>
  <c r="BL29" i="1"/>
  <c r="BI29" i="1"/>
  <c r="BG29" i="1"/>
  <c r="BA29" i="1"/>
  <c r="AY29" i="1"/>
  <c r="AW29" i="1"/>
  <c r="AV29" i="1"/>
  <c r="AQ29" i="1"/>
  <c r="AN29" i="1"/>
  <c r="AL29" i="1"/>
  <c r="BN28" i="1"/>
  <c r="BM28" i="1"/>
  <c r="AR28" i="1"/>
  <c r="AQ28" i="1"/>
  <c r="AL28" i="1"/>
  <c r="BE28" i="1" s="1"/>
  <c r="BV27" i="1"/>
  <c r="BU27" i="1"/>
  <c r="BT27" i="1"/>
  <c r="BS27" i="1"/>
  <c r="BQ27" i="1"/>
  <c r="BP27" i="1"/>
  <c r="BO27" i="1"/>
  <c r="BN27" i="1"/>
  <c r="BM27" i="1"/>
  <c r="BL27" i="1"/>
  <c r="BK27" i="1"/>
  <c r="BI27" i="1"/>
  <c r="BH27" i="1"/>
  <c r="BG27" i="1"/>
  <c r="BF27" i="1"/>
  <c r="BE27" i="1"/>
  <c r="BD27" i="1"/>
  <c r="BC27" i="1"/>
  <c r="BA27" i="1"/>
  <c r="AZ27" i="1"/>
  <c r="AY27" i="1"/>
  <c r="AX27" i="1"/>
  <c r="AW27" i="1"/>
  <c r="AV27" i="1"/>
  <c r="AU27" i="1"/>
  <c r="AS27" i="1"/>
  <c r="AR27" i="1"/>
  <c r="AQ27" i="1"/>
  <c r="AP27" i="1"/>
  <c r="AO27" i="1"/>
  <c r="AN27" i="1"/>
  <c r="AM27" i="1"/>
  <c r="AL27" i="1"/>
  <c r="BR27" i="1" s="1"/>
  <c r="BV26" i="1"/>
  <c r="BT26" i="1"/>
  <c r="BQ26" i="1"/>
  <c r="BO26" i="1"/>
  <c r="BN26" i="1"/>
  <c r="BL26" i="1"/>
  <c r="BK26" i="1"/>
  <c r="BJ26" i="1"/>
  <c r="BF26" i="1"/>
  <c r="BD26" i="1"/>
  <c r="BC26" i="1"/>
  <c r="BB26" i="1"/>
  <c r="BA26" i="1"/>
  <c r="AY26" i="1"/>
  <c r="AU26" i="1"/>
  <c r="AT26" i="1"/>
  <c r="AS26" i="1"/>
  <c r="AQ26" i="1"/>
  <c r="AP26" i="1"/>
  <c r="AN26" i="1"/>
  <c r="AL26" i="1"/>
  <c r="BU25" i="1"/>
  <c r="BP25" i="1"/>
  <c r="BG25" i="1"/>
  <c r="BE25" i="1"/>
  <c r="AZ25" i="1"/>
  <c r="AT25" i="1"/>
  <c r="AL25" i="1"/>
  <c r="BV24" i="1"/>
  <c r="BP24" i="1"/>
  <c r="BO24" i="1"/>
  <c r="BN24" i="1"/>
  <c r="BM24" i="1"/>
  <c r="BK24" i="1"/>
  <c r="BF24" i="1"/>
  <c r="BE24" i="1"/>
  <c r="BC24" i="1"/>
  <c r="BB24" i="1"/>
  <c r="AZ24" i="1"/>
  <c r="AU24" i="1"/>
  <c r="AT24" i="1"/>
  <c r="AR24" i="1"/>
  <c r="AQ24" i="1"/>
  <c r="AP24" i="1"/>
  <c r="AL24" i="1"/>
  <c r="BV23" i="1"/>
  <c r="BU23" i="1"/>
  <c r="BT23" i="1"/>
  <c r="BS23" i="1"/>
  <c r="BQ23" i="1"/>
  <c r="BP23" i="1"/>
  <c r="BO23" i="1"/>
  <c r="BN23" i="1"/>
  <c r="BM23" i="1"/>
  <c r="BL23" i="1"/>
  <c r="BK23" i="1"/>
  <c r="BI23" i="1"/>
  <c r="BH23" i="1"/>
  <c r="BG23" i="1"/>
  <c r="BF23" i="1"/>
  <c r="BE23" i="1"/>
  <c r="BD23" i="1"/>
  <c r="BC23" i="1"/>
  <c r="BA23" i="1"/>
  <c r="AZ23" i="1"/>
  <c r="AY23" i="1"/>
  <c r="AX23" i="1"/>
  <c r="AW23" i="1"/>
  <c r="AV23" i="1"/>
  <c r="AU23" i="1"/>
  <c r="AS23" i="1"/>
  <c r="AR23" i="1"/>
  <c r="AQ23" i="1"/>
  <c r="AP23" i="1"/>
  <c r="AO23" i="1"/>
  <c r="AN23" i="1"/>
  <c r="AM23" i="1"/>
  <c r="AL23" i="1"/>
  <c r="BR23" i="1" s="1"/>
  <c r="BV22" i="1"/>
  <c r="BT22" i="1"/>
  <c r="BS22" i="1"/>
  <c r="BO22" i="1"/>
  <c r="BN22" i="1"/>
  <c r="BL22" i="1"/>
  <c r="BK22" i="1"/>
  <c r="BJ22" i="1"/>
  <c r="BI22" i="1"/>
  <c r="BF22" i="1"/>
  <c r="BD22" i="1"/>
  <c r="BC22" i="1"/>
  <c r="BB22" i="1"/>
  <c r="BA22" i="1"/>
  <c r="AY22" i="1"/>
  <c r="AX22" i="1"/>
  <c r="AU22" i="1"/>
  <c r="AT22" i="1"/>
  <c r="AS22" i="1"/>
  <c r="AQ22" i="1"/>
  <c r="AP22" i="1"/>
  <c r="AN22" i="1"/>
  <c r="AM22" i="1"/>
  <c r="AL22" i="1"/>
  <c r="BQ22" i="1" s="1"/>
  <c r="BT21" i="1"/>
  <c r="BQ21" i="1"/>
  <c r="BP21" i="1"/>
  <c r="BO21" i="1"/>
  <c r="BI21" i="1"/>
  <c r="BG21" i="1"/>
  <c r="BE21" i="1"/>
  <c r="BD21" i="1"/>
  <c r="AY21" i="1"/>
  <c r="AV21" i="1"/>
  <c r="AT21" i="1"/>
  <c r="AS21" i="1"/>
  <c r="AN21" i="1"/>
  <c r="AL21" i="1"/>
  <c r="BV20" i="1"/>
  <c r="BU20" i="1"/>
  <c r="BP20" i="1"/>
  <c r="BO20" i="1"/>
  <c r="BN20" i="1"/>
  <c r="BM20" i="1"/>
  <c r="BK20" i="1"/>
  <c r="BJ20" i="1"/>
  <c r="BF20" i="1"/>
  <c r="BE20" i="1"/>
  <c r="BC20" i="1"/>
  <c r="BB20" i="1"/>
  <c r="AZ20" i="1"/>
  <c r="AY20" i="1"/>
  <c r="AU20" i="1"/>
  <c r="AT20" i="1"/>
  <c r="AR20" i="1"/>
  <c r="AQ20" i="1"/>
  <c r="AP20" i="1"/>
  <c r="AO20" i="1"/>
  <c r="AL20" i="1"/>
  <c r="BV19" i="1"/>
  <c r="BU19" i="1"/>
  <c r="BT19" i="1"/>
  <c r="BS19" i="1"/>
  <c r="BQ19" i="1"/>
  <c r="BP19" i="1"/>
  <c r="BO19" i="1"/>
  <c r="BN19" i="1"/>
  <c r="BM19" i="1"/>
  <c r="BL19" i="1"/>
  <c r="BK19" i="1"/>
  <c r="BI19" i="1"/>
  <c r="BH19" i="1"/>
  <c r="BG19" i="1"/>
  <c r="BF19" i="1"/>
  <c r="BE19" i="1"/>
  <c r="BD19" i="1"/>
  <c r="BC19" i="1"/>
  <c r="BA19" i="1"/>
  <c r="AZ19" i="1"/>
  <c r="AY19" i="1"/>
  <c r="AX19" i="1"/>
  <c r="AW19" i="1"/>
  <c r="AV19" i="1"/>
  <c r="AU19" i="1"/>
  <c r="AS19" i="1"/>
  <c r="AR19" i="1"/>
  <c r="AQ19" i="1"/>
  <c r="AP19" i="1"/>
  <c r="AO19" i="1"/>
  <c r="AN19" i="1"/>
  <c r="AM19" i="1"/>
  <c r="AL19" i="1"/>
  <c r="BR19" i="1" s="1"/>
  <c r="BT18" i="1"/>
  <c r="BS18" i="1"/>
  <c r="BJ18" i="1"/>
  <c r="BB18" i="1"/>
  <c r="AY18" i="1"/>
  <c r="AX18" i="1"/>
  <c r="AN18" i="1"/>
  <c r="AL18" i="1"/>
  <c r="BR17" i="1"/>
  <c r="BP17" i="1"/>
  <c r="BO17" i="1"/>
  <c r="BE17" i="1"/>
  <c r="BB17" i="1"/>
  <c r="AW17" i="1"/>
  <c r="AT17" i="1"/>
  <c r="AS17" i="1"/>
  <c r="AL17" i="1"/>
  <c r="BD17" i="1" s="1"/>
  <c r="BV16" i="1"/>
  <c r="BU16" i="1"/>
  <c r="BS16" i="1"/>
  <c r="BP16" i="1"/>
  <c r="BO16" i="1"/>
  <c r="BN16" i="1"/>
  <c r="BM16" i="1"/>
  <c r="BK16" i="1"/>
  <c r="BJ16" i="1"/>
  <c r="BH16" i="1"/>
  <c r="BF16" i="1"/>
  <c r="BE16" i="1"/>
  <c r="BC16" i="1"/>
  <c r="BB16" i="1"/>
  <c r="AZ16" i="1"/>
  <c r="AY16" i="1"/>
  <c r="AX16" i="1"/>
  <c r="AU16" i="1"/>
  <c r="AT16" i="1"/>
  <c r="AR16" i="1"/>
  <c r="AQ16" i="1"/>
  <c r="AP16" i="1"/>
  <c r="AO16" i="1"/>
  <c r="AM16" i="1"/>
  <c r="AL16" i="1"/>
  <c r="BV15" i="1"/>
  <c r="BU15" i="1"/>
  <c r="BT15" i="1"/>
  <c r="BS15" i="1"/>
  <c r="BQ15" i="1"/>
  <c r="BP15" i="1"/>
  <c r="BO15" i="1"/>
  <c r="BN15" i="1"/>
  <c r="BM15" i="1"/>
  <c r="BL15" i="1"/>
  <c r="BK15" i="1"/>
  <c r="BI15" i="1"/>
  <c r="BH15" i="1"/>
  <c r="BG15" i="1"/>
  <c r="BF15" i="1"/>
  <c r="BE15" i="1"/>
  <c r="BD15" i="1"/>
  <c r="BC15" i="1"/>
  <c r="BA15" i="1"/>
  <c r="AZ15" i="1"/>
  <c r="AY15" i="1"/>
  <c r="AX15" i="1"/>
  <c r="AW15" i="1"/>
  <c r="AV15" i="1"/>
  <c r="AU15" i="1"/>
  <c r="AS15" i="1"/>
  <c r="AR15" i="1"/>
  <c r="AQ15" i="1"/>
  <c r="AP15" i="1"/>
  <c r="AO15" i="1"/>
  <c r="AN15" i="1"/>
  <c r="AM15" i="1"/>
  <c r="AL15" i="1"/>
  <c r="BR15" i="1" s="1"/>
  <c r="BT14" i="1"/>
  <c r="BJ14" i="1"/>
  <c r="BI14" i="1"/>
  <c r="AW14" i="1"/>
  <c r="AL14" i="1"/>
  <c r="BP13" i="1"/>
  <c r="BO13" i="1"/>
  <c r="BM13" i="1"/>
  <c r="BE13" i="1"/>
  <c r="BD13" i="1"/>
  <c r="BC13" i="1"/>
  <c r="AU13" i="1"/>
  <c r="AT13" i="1"/>
  <c r="AS13" i="1"/>
  <c r="AL13" i="1"/>
  <c r="BV12" i="1"/>
  <c r="BK12" i="1"/>
  <c r="BE12" i="1"/>
  <c r="BC12" i="1"/>
  <c r="BB12" i="1"/>
  <c r="AU12" i="1"/>
  <c r="AL12" i="1"/>
  <c r="BV11" i="1"/>
  <c r="BU11" i="1"/>
  <c r="BT11" i="1"/>
  <c r="BS11" i="1"/>
  <c r="BQ11" i="1"/>
  <c r="BP11" i="1"/>
  <c r="BO11" i="1"/>
  <c r="BN11" i="1"/>
  <c r="BM11" i="1"/>
  <c r="BL11" i="1"/>
  <c r="BK11" i="1"/>
  <c r="BI11" i="1"/>
  <c r="BH11" i="1"/>
  <c r="BG11" i="1"/>
  <c r="BF11" i="1"/>
  <c r="BE11" i="1"/>
  <c r="BD11" i="1"/>
  <c r="BC11" i="1"/>
  <c r="BA11" i="1"/>
  <c r="AZ11" i="1"/>
  <c r="AY11" i="1"/>
  <c r="AX11" i="1"/>
  <c r="AW11" i="1"/>
  <c r="AV11" i="1"/>
  <c r="AU11" i="1"/>
  <c r="AS11" i="1"/>
  <c r="AR11" i="1"/>
  <c r="AQ11" i="1"/>
  <c r="AP11" i="1"/>
  <c r="AO11" i="1"/>
  <c r="AN11" i="1"/>
  <c r="AM11" i="1"/>
  <c r="AL11" i="1"/>
  <c r="BR11" i="1" s="1"/>
  <c r="BU10" i="1"/>
  <c r="BS10" i="1"/>
  <c r="BR10" i="1"/>
  <c r="BQ10" i="1"/>
  <c r="BO10" i="1"/>
  <c r="BN10" i="1"/>
  <c r="BL10" i="1"/>
  <c r="BJ10" i="1"/>
  <c r="BI10" i="1"/>
  <c r="BG10" i="1"/>
  <c r="BF10" i="1"/>
  <c r="BE10" i="1"/>
  <c r="BC10" i="1"/>
  <c r="BA10" i="1"/>
  <c r="AY10" i="1"/>
  <c r="AX10" i="1"/>
  <c r="AW10" i="1"/>
  <c r="AV10" i="1"/>
  <c r="AT10" i="1"/>
  <c r="AQ10" i="1"/>
  <c r="AP10" i="1"/>
  <c r="AO10" i="1"/>
  <c r="AN10" i="1"/>
  <c r="AM10" i="1"/>
  <c r="AL10" i="1"/>
  <c r="BT10" i="1" s="1"/>
  <c r="BT9" i="1"/>
  <c r="BS9" i="1"/>
  <c r="BR9" i="1"/>
  <c r="BQ9" i="1"/>
  <c r="BK9" i="1"/>
  <c r="BJ9" i="1"/>
  <c r="BI9" i="1"/>
  <c r="BH9" i="1"/>
  <c r="BB9" i="1"/>
  <c r="BA9" i="1"/>
  <c r="AZ9" i="1"/>
  <c r="AY9" i="1"/>
  <c r="AS9" i="1"/>
  <c r="AR9" i="1"/>
  <c r="AQ9" i="1"/>
  <c r="AO9" i="1"/>
  <c r="AL9" i="1"/>
  <c r="BU9" i="1" s="1"/>
  <c r="BV8" i="1"/>
  <c r="BU8" i="1"/>
  <c r="BS8" i="1"/>
  <c r="BR8" i="1"/>
  <c r="BQ8" i="1"/>
  <c r="BO8" i="1"/>
  <c r="BM8" i="1"/>
  <c r="BK8" i="1"/>
  <c r="BJ8" i="1"/>
  <c r="BI8" i="1"/>
  <c r="BH8" i="1"/>
  <c r="BF8" i="1"/>
  <c r="BC8" i="1"/>
  <c r="BB8" i="1"/>
  <c r="BA8" i="1"/>
  <c r="AZ8" i="1"/>
  <c r="AY8" i="1"/>
  <c r="AW8" i="1"/>
  <c r="AT8" i="1"/>
  <c r="AS8" i="1"/>
  <c r="AR8" i="1"/>
  <c r="AQ8" i="1"/>
  <c r="AP8" i="1"/>
  <c r="AO8" i="1"/>
  <c r="AM8" i="1"/>
  <c r="AL8" i="1"/>
  <c r="BV7" i="1"/>
  <c r="BU7" i="1"/>
  <c r="BT7" i="1"/>
  <c r="BS7" i="1"/>
  <c r="BQ7" i="1"/>
  <c r="BP7" i="1"/>
  <c r="BO7" i="1"/>
  <c r="BN7" i="1"/>
  <c r="BM7" i="1"/>
  <c r="BL7" i="1"/>
  <c r="BK7" i="1"/>
  <c r="BI7" i="1"/>
  <c r="BH7" i="1"/>
  <c r="BG7" i="1"/>
  <c r="BF7" i="1"/>
  <c r="BE7" i="1"/>
  <c r="BD7" i="1"/>
  <c r="BC7" i="1"/>
  <c r="BA7" i="1"/>
  <c r="AZ7" i="1"/>
  <c r="AY7" i="1"/>
  <c r="AX7" i="1"/>
  <c r="AW7" i="1"/>
  <c r="AV7" i="1"/>
  <c r="AU7" i="1"/>
  <c r="AS7" i="1"/>
  <c r="AR7" i="1"/>
  <c r="AQ7" i="1"/>
  <c r="AP7" i="1"/>
  <c r="AO7" i="1"/>
  <c r="AN7" i="1"/>
  <c r="AM7" i="1"/>
  <c r="AL7" i="1"/>
  <c r="BR7" i="1" s="1"/>
  <c r="AL6" i="1"/>
  <c r="BT5" i="1"/>
  <c r="BR5" i="1"/>
  <c r="BQ5" i="1"/>
  <c r="BP5" i="1"/>
  <c r="BO5" i="1"/>
  <c r="BM5" i="1"/>
  <c r="BK5" i="1"/>
  <c r="BI5" i="1"/>
  <c r="BH5" i="1"/>
  <c r="BG5" i="1"/>
  <c r="BF5" i="1"/>
  <c r="BE5" i="1"/>
  <c r="BC5" i="1"/>
  <c r="BA5" i="1"/>
  <c r="AZ5" i="1"/>
  <c r="AY5" i="1"/>
  <c r="AX5" i="1"/>
  <c r="AW5" i="1"/>
  <c r="AU5" i="1"/>
  <c r="AS5" i="1"/>
  <c r="AR5" i="1"/>
  <c r="AQ5" i="1"/>
  <c r="AP5" i="1"/>
  <c r="AO5" i="1"/>
  <c r="AM5" i="1"/>
  <c r="AL5" i="1"/>
  <c r="BV4" i="1"/>
  <c r="BU4" i="1"/>
  <c r="BT4" i="1"/>
  <c r="BS4" i="1"/>
  <c r="BQ4" i="1"/>
  <c r="BO4" i="1"/>
  <c r="BN4" i="1"/>
  <c r="BM4" i="1"/>
  <c r="BL4" i="1"/>
  <c r="BK4" i="1"/>
  <c r="BI4" i="1"/>
  <c r="BG4" i="1"/>
  <c r="BF4" i="1"/>
  <c r="BE4" i="1"/>
  <c r="BD4" i="1"/>
  <c r="BC4" i="1"/>
  <c r="BA4" i="1"/>
  <c r="AY4" i="1"/>
  <c r="AX4" i="1"/>
  <c r="AW4" i="1"/>
  <c r="AV4" i="1"/>
  <c r="AU4" i="1"/>
  <c r="AS4" i="1"/>
  <c r="AQ4" i="1"/>
  <c r="AP4" i="1"/>
  <c r="AO4" i="1"/>
  <c r="AN4" i="1"/>
  <c r="AM4" i="1"/>
  <c r="AL4" i="1"/>
  <c r="BR4" i="1" s="1"/>
  <c r="BT3" i="1"/>
  <c r="BC3" i="1"/>
  <c r="BB3" i="1"/>
  <c r="AL3" i="1"/>
  <c r="BS2" i="1"/>
  <c r="BR2" i="1"/>
  <c r="BC2" i="1"/>
  <c r="BB2" i="1"/>
  <c r="BA2" i="1"/>
  <c r="AU2" i="1"/>
  <c r="AL2" i="1"/>
  <c r="BK2" i="1" s="1"/>
  <c r="CB8" i="1" l="1"/>
  <c r="BP6" i="1"/>
  <c r="BH6" i="1"/>
  <c r="AZ6" i="1"/>
  <c r="AR6" i="1"/>
  <c r="BU6" i="1"/>
  <c r="BL6" i="1"/>
  <c r="BC6" i="1"/>
  <c r="BY18" i="1" s="1"/>
  <c r="AT6" i="1"/>
  <c r="BS6" i="1"/>
  <c r="BA6" i="1"/>
  <c r="BG6" i="1"/>
  <c r="AO6" i="1"/>
  <c r="BT6" i="1"/>
  <c r="BK6" i="1"/>
  <c r="BY26" i="1" s="1"/>
  <c r="BB6" i="1"/>
  <c r="BY17" i="1" s="1"/>
  <c r="AS6" i="1"/>
  <c r="BJ6" i="1"/>
  <c r="AQ6" i="1"/>
  <c r="BQ6" i="1"/>
  <c r="AX6" i="1"/>
  <c r="BR6" i="1"/>
  <c r="BI6" i="1"/>
  <c r="AY6" i="1"/>
  <c r="AP6" i="1"/>
  <c r="BQ3" i="1"/>
  <c r="BI3" i="1"/>
  <c r="BA3" i="1"/>
  <c r="BY16" i="1" s="1"/>
  <c r="AS3" i="1"/>
  <c r="BP3" i="1"/>
  <c r="BH3" i="1"/>
  <c r="AZ3" i="1"/>
  <c r="AR3" i="1"/>
  <c r="BO3" i="1"/>
  <c r="BG3" i="1"/>
  <c r="AY3" i="1"/>
  <c r="AQ3" i="1"/>
  <c r="BU3" i="1"/>
  <c r="BM3" i="1"/>
  <c r="AW3" i="1"/>
  <c r="BV3" i="1"/>
  <c r="BN3" i="1"/>
  <c r="BF3" i="1"/>
  <c r="AX3" i="1"/>
  <c r="AP3" i="1"/>
  <c r="BE3" i="1"/>
  <c r="AO3" i="1"/>
  <c r="BO6" i="1"/>
  <c r="BP14" i="1"/>
  <c r="BH14" i="1"/>
  <c r="AZ14" i="1"/>
  <c r="AR14" i="1"/>
  <c r="BQ14" i="1"/>
  <c r="BG14" i="1"/>
  <c r="AX14" i="1"/>
  <c r="AO14" i="1"/>
  <c r="BO14" i="1"/>
  <c r="BF14" i="1"/>
  <c r="BS14" i="1"/>
  <c r="BE14" i="1"/>
  <c r="AU14" i="1"/>
  <c r="BC14" i="1"/>
  <c r="BR14" i="1"/>
  <c r="BD14" i="1"/>
  <c r="AT14" i="1"/>
  <c r="BN14" i="1"/>
  <c r="AS14" i="1"/>
  <c r="BK14" i="1"/>
  <c r="AY14" i="1"/>
  <c r="BM14" i="1"/>
  <c r="BB14" i="1"/>
  <c r="AQ14" i="1"/>
  <c r="BL14" i="1"/>
  <c r="BA14" i="1"/>
  <c r="AP14" i="1"/>
  <c r="BU14" i="1"/>
  <c r="AM6" i="1"/>
  <c r="BM6" i="1"/>
  <c r="BD3" i="1"/>
  <c r="BI2" i="1"/>
  <c r="BK3" i="1"/>
  <c r="AV6" i="1"/>
  <c r="AM2" i="1"/>
  <c r="AT3" i="1"/>
  <c r="BL3" i="1"/>
  <c r="AW6" i="1"/>
  <c r="BT12" i="1"/>
  <c r="BL12" i="1"/>
  <c r="BD12" i="1"/>
  <c r="AV12" i="1"/>
  <c r="AN12" i="1"/>
  <c r="BS12" i="1"/>
  <c r="BJ12" i="1"/>
  <c r="BA12" i="1"/>
  <c r="AR12" i="1"/>
  <c r="BQ12" i="1"/>
  <c r="BH12" i="1"/>
  <c r="AP12" i="1"/>
  <c r="BR12" i="1"/>
  <c r="BI12" i="1"/>
  <c r="AZ12" i="1"/>
  <c r="AQ12" i="1"/>
  <c r="AY12" i="1"/>
  <c r="BP12" i="1"/>
  <c r="BG12" i="1"/>
  <c r="AX12" i="1"/>
  <c r="AO12" i="1"/>
  <c r="BO12" i="1"/>
  <c r="BF12" i="1"/>
  <c r="AW12" i="1"/>
  <c r="AM12" i="1"/>
  <c r="BM12" i="1"/>
  <c r="AM14" i="1"/>
  <c r="BV14" i="1"/>
  <c r="BF6" i="1"/>
  <c r="AN6" i="1"/>
  <c r="AS2" i="1"/>
  <c r="AU3" i="1"/>
  <c r="BR3" i="1"/>
  <c r="BY33" i="1" s="1"/>
  <c r="BD6" i="1"/>
  <c r="AS12" i="1"/>
  <c r="BN12" i="1"/>
  <c r="AN14" i="1"/>
  <c r="BN6" i="1"/>
  <c r="AM3" i="1"/>
  <c r="BJ3" i="1"/>
  <c r="AU6" i="1"/>
  <c r="BP2" i="1"/>
  <c r="BH2" i="1"/>
  <c r="BY23" i="1" s="1"/>
  <c r="AZ2" i="1"/>
  <c r="AR2" i="1"/>
  <c r="BO2" i="1"/>
  <c r="BG2" i="1"/>
  <c r="AY2" i="1"/>
  <c r="AQ2" i="1"/>
  <c r="BV2" i="1"/>
  <c r="BN2" i="1"/>
  <c r="BY29" i="1" s="1"/>
  <c r="BF2" i="1"/>
  <c r="AX2" i="1"/>
  <c r="AP2" i="1"/>
  <c r="BT2" i="1"/>
  <c r="BD2" i="1"/>
  <c r="AN2" i="1"/>
  <c r="BU2" i="1"/>
  <c r="BM2" i="1"/>
  <c r="BE2" i="1"/>
  <c r="AW2" i="1"/>
  <c r="AO2" i="1"/>
  <c r="BL2" i="1"/>
  <c r="AV2" i="1"/>
  <c r="AN3" i="1"/>
  <c r="BV6" i="1"/>
  <c r="BJ2" i="1"/>
  <c r="AT2" i="1"/>
  <c r="BQ2" i="1"/>
  <c r="AV3" i="1"/>
  <c r="BS3" i="1"/>
  <c r="BE6" i="1"/>
  <c r="AT12" i="1"/>
  <c r="BU12" i="1"/>
  <c r="AV14" i="1"/>
  <c r="BV13" i="1"/>
  <c r="BN13" i="1"/>
  <c r="BF13" i="1"/>
  <c r="AX13" i="1"/>
  <c r="AP13" i="1"/>
  <c r="BR13" i="1"/>
  <c r="BI13" i="1"/>
  <c r="AZ13" i="1"/>
  <c r="AQ13" i="1"/>
  <c r="AV13" i="1"/>
  <c r="BG13" i="1"/>
  <c r="BQ13" i="1"/>
  <c r="BU18" i="1"/>
  <c r="BM18" i="1"/>
  <c r="BE18" i="1"/>
  <c r="AW18" i="1"/>
  <c r="AO18" i="1"/>
  <c r="BP18" i="1"/>
  <c r="BH18" i="1"/>
  <c r="AZ18" i="1"/>
  <c r="AR18" i="1"/>
  <c r="BQ18" i="1"/>
  <c r="BF18" i="1"/>
  <c r="AU18" i="1"/>
  <c r="BY10" i="1" s="1"/>
  <c r="BO18" i="1"/>
  <c r="BD18" i="1"/>
  <c r="AT18" i="1"/>
  <c r="BN18" i="1"/>
  <c r="BC18" i="1"/>
  <c r="AS18" i="1"/>
  <c r="BV18" i="1"/>
  <c r="BK18" i="1"/>
  <c r="BA18" i="1"/>
  <c r="AP18" i="1"/>
  <c r="BG18" i="1"/>
  <c r="BS25" i="1"/>
  <c r="BK25" i="1"/>
  <c r="BC25" i="1"/>
  <c r="AU25" i="1"/>
  <c r="AM25" i="1"/>
  <c r="BV25" i="1"/>
  <c r="BN25" i="1"/>
  <c r="BF25" i="1"/>
  <c r="AX25" i="1"/>
  <c r="AP25" i="1"/>
  <c r="BO25" i="1"/>
  <c r="BD25" i="1"/>
  <c r="AS25" i="1"/>
  <c r="BM25" i="1"/>
  <c r="BB25" i="1"/>
  <c r="AR25" i="1"/>
  <c r="BL25" i="1"/>
  <c r="BA25" i="1"/>
  <c r="AQ25" i="1"/>
  <c r="BT25" i="1"/>
  <c r="BI25" i="1"/>
  <c r="AY25" i="1"/>
  <c r="AN25" i="1"/>
  <c r="BH25" i="1"/>
  <c r="AT28" i="1"/>
  <c r="BO28" i="1"/>
  <c r="AR4" i="1"/>
  <c r="AZ4" i="1"/>
  <c r="BH4" i="1"/>
  <c r="BP4" i="1"/>
  <c r="BV5" i="1"/>
  <c r="BN5" i="1"/>
  <c r="AT5" i="1"/>
  <c r="BB5" i="1"/>
  <c r="BJ5" i="1"/>
  <c r="BS5" i="1"/>
  <c r="BY34" i="1" s="1"/>
  <c r="BT8" i="1"/>
  <c r="BL8" i="1"/>
  <c r="BD8" i="1"/>
  <c r="AV8" i="1"/>
  <c r="AN8" i="1"/>
  <c r="AU8" i="1"/>
  <c r="BE8" i="1"/>
  <c r="BN8" i="1"/>
  <c r="AT9" i="1"/>
  <c r="BC9" i="1"/>
  <c r="BL9" i="1"/>
  <c r="AS10" i="1"/>
  <c r="BB10" i="1"/>
  <c r="BK10" i="1"/>
  <c r="AM13" i="1"/>
  <c r="AW13" i="1"/>
  <c r="BH13" i="1"/>
  <c r="BS13" i="1"/>
  <c r="AM18" i="1"/>
  <c r="BI18" i="1"/>
  <c r="AO25" i="1"/>
  <c r="BJ25" i="1"/>
  <c r="AW28" i="1"/>
  <c r="BR28" i="1"/>
  <c r="BV9" i="1"/>
  <c r="BN9" i="1"/>
  <c r="BF9" i="1"/>
  <c r="AX9" i="1"/>
  <c r="AP9" i="1"/>
  <c r="AU9" i="1"/>
  <c r="BD9" i="1"/>
  <c r="BM9" i="1"/>
  <c r="AN13" i="1"/>
  <c r="BJ13" i="1"/>
  <c r="BB28" i="1"/>
  <c r="AT4" i="1"/>
  <c r="BB4" i="1"/>
  <c r="BJ4" i="1"/>
  <c r="AN5" i="1"/>
  <c r="AV5" i="1"/>
  <c r="BD5" i="1"/>
  <c r="BL5" i="1"/>
  <c r="BU5" i="1"/>
  <c r="AX8" i="1"/>
  <c r="BG8" i="1"/>
  <c r="BP8" i="1"/>
  <c r="AM9" i="1"/>
  <c r="AV9" i="1"/>
  <c r="BE9" i="1"/>
  <c r="BO9" i="1"/>
  <c r="BP10" i="1"/>
  <c r="BH10" i="1"/>
  <c r="AZ10" i="1"/>
  <c r="AR10" i="1"/>
  <c r="AU10" i="1"/>
  <c r="BD10" i="1"/>
  <c r="BM10" i="1"/>
  <c r="BV10" i="1"/>
  <c r="AO13" i="1"/>
  <c r="BA13" i="1"/>
  <c r="BK13" i="1"/>
  <c r="BU13" i="1"/>
  <c r="BS17" i="1"/>
  <c r="BK17" i="1"/>
  <c r="BC17" i="1"/>
  <c r="AU17" i="1"/>
  <c r="AM17" i="1"/>
  <c r="BV17" i="1"/>
  <c r="BN17" i="1"/>
  <c r="BF17" i="1"/>
  <c r="AX17" i="1"/>
  <c r="AP17" i="1"/>
  <c r="BL17" i="1"/>
  <c r="BA17" i="1"/>
  <c r="AQ17" i="1"/>
  <c r="BU17" i="1"/>
  <c r="BJ17" i="1"/>
  <c r="AZ17" i="1"/>
  <c r="AO17" i="1"/>
  <c r="BT17" i="1"/>
  <c r="BI17" i="1"/>
  <c r="AY17" i="1"/>
  <c r="AN17" i="1"/>
  <c r="BQ17" i="1"/>
  <c r="BG17" i="1"/>
  <c r="AV17" i="1"/>
  <c r="BH17" i="1"/>
  <c r="AQ18" i="1"/>
  <c r="BL18" i="1"/>
  <c r="AV25" i="1"/>
  <c r="BQ25" i="1"/>
  <c r="BC28" i="1"/>
  <c r="BS29" i="1"/>
  <c r="BK29" i="1"/>
  <c r="BC29" i="1"/>
  <c r="AU29" i="1"/>
  <c r="AM29" i="1"/>
  <c r="BV29" i="1"/>
  <c r="BN29" i="1"/>
  <c r="BF29" i="1"/>
  <c r="AX29" i="1"/>
  <c r="AP29" i="1"/>
  <c r="BP29" i="1"/>
  <c r="BE29" i="1"/>
  <c r="AT29" i="1"/>
  <c r="BO29" i="1"/>
  <c r="BD29" i="1"/>
  <c r="AS29" i="1"/>
  <c r="BM29" i="1"/>
  <c r="BB29" i="1"/>
  <c r="AR29" i="1"/>
  <c r="BU29" i="1"/>
  <c r="BJ29" i="1"/>
  <c r="AZ29" i="1"/>
  <c r="AO29" i="1"/>
  <c r="BH29" i="1"/>
  <c r="AY13" i="1"/>
  <c r="BT13" i="1"/>
  <c r="AN9" i="1"/>
  <c r="AW9" i="1"/>
  <c r="BG9" i="1"/>
  <c r="BP9" i="1"/>
  <c r="AR13" i="1"/>
  <c r="BB13" i="1"/>
  <c r="BL13" i="1"/>
  <c r="AR17" i="1"/>
  <c r="BM17" i="1"/>
  <c r="AV18" i="1"/>
  <c r="BR18" i="1"/>
  <c r="AW25" i="1"/>
  <c r="BR25" i="1"/>
  <c r="BQ28" i="1"/>
  <c r="BI28" i="1"/>
  <c r="BA28" i="1"/>
  <c r="AS28" i="1"/>
  <c r="BT28" i="1"/>
  <c r="BL28" i="1"/>
  <c r="BD28" i="1"/>
  <c r="AV28" i="1"/>
  <c r="AN28" i="1"/>
  <c r="BV28" i="1"/>
  <c r="BK28" i="1"/>
  <c r="AZ28" i="1"/>
  <c r="AP28" i="1"/>
  <c r="BU28" i="1"/>
  <c r="BJ28" i="1"/>
  <c r="AY28" i="1"/>
  <c r="AO28" i="1"/>
  <c r="BS28" i="1"/>
  <c r="BH28" i="1"/>
  <c r="AX28" i="1"/>
  <c r="AM28" i="1"/>
  <c r="BP28" i="1"/>
  <c r="BF28" i="1"/>
  <c r="AU28" i="1"/>
  <c r="BG28" i="1"/>
  <c r="BS21" i="1"/>
  <c r="BK21" i="1"/>
  <c r="BC21" i="1"/>
  <c r="AU21" i="1"/>
  <c r="AM21" i="1"/>
  <c r="BV21" i="1"/>
  <c r="BN21" i="1"/>
  <c r="BF21" i="1"/>
  <c r="AX21" i="1"/>
  <c r="AP21" i="1"/>
  <c r="AW21" i="1"/>
  <c r="BH21" i="1"/>
  <c r="BR21" i="1"/>
  <c r="AO21" i="1"/>
  <c r="AZ21" i="1"/>
  <c r="BJ21" i="1"/>
  <c r="BU21" i="1"/>
  <c r="BQ24" i="1"/>
  <c r="BI24" i="1"/>
  <c r="BA24" i="1"/>
  <c r="AS24" i="1"/>
  <c r="BT24" i="1"/>
  <c r="BL24" i="1"/>
  <c r="BD24" i="1"/>
  <c r="AV24" i="1"/>
  <c r="AN24" i="1"/>
  <c r="AW24" i="1"/>
  <c r="BG24" i="1"/>
  <c r="BR24" i="1"/>
  <c r="BU30" i="1"/>
  <c r="BM30" i="1"/>
  <c r="BE30" i="1"/>
  <c r="AW30" i="1"/>
  <c r="AO30" i="1"/>
  <c r="BP30" i="1"/>
  <c r="BH30" i="1"/>
  <c r="AZ30" i="1"/>
  <c r="AR30" i="1"/>
  <c r="AV30" i="1"/>
  <c r="BG30" i="1"/>
  <c r="BR30" i="1"/>
  <c r="BQ20" i="1"/>
  <c r="BI20" i="1"/>
  <c r="BA20" i="1"/>
  <c r="AS20" i="1"/>
  <c r="BT20" i="1"/>
  <c r="BL20" i="1"/>
  <c r="BD20" i="1"/>
  <c r="AV20" i="1"/>
  <c r="AN20" i="1"/>
  <c r="AW20" i="1"/>
  <c r="BG20" i="1"/>
  <c r="BR20" i="1"/>
  <c r="AQ21" i="1"/>
  <c r="BA21" i="1"/>
  <c r="BL21" i="1"/>
  <c r="AM24" i="1"/>
  <c r="AX24" i="1"/>
  <c r="BH24" i="1"/>
  <c r="BS24" i="1"/>
  <c r="BU26" i="1"/>
  <c r="BM26" i="1"/>
  <c r="BE26" i="1"/>
  <c r="AW26" i="1"/>
  <c r="AO26" i="1"/>
  <c r="BP26" i="1"/>
  <c r="BH26" i="1"/>
  <c r="AZ26" i="1"/>
  <c r="AR26" i="1"/>
  <c r="AV26" i="1"/>
  <c r="BG26" i="1"/>
  <c r="BR26" i="1"/>
  <c r="AM30" i="1"/>
  <c r="AX30" i="1"/>
  <c r="BI30" i="1"/>
  <c r="BS30" i="1"/>
  <c r="AT7" i="1"/>
  <c r="BB7" i="1"/>
  <c r="BJ7" i="1"/>
  <c r="AT11" i="1"/>
  <c r="BB11" i="1"/>
  <c r="BJ11" i="1"/>
  <c r="BQ16" i="1"/>
  <c r="BI16" i="1"/>
  <c r="BA16" i="1"/>
  <c r="AS16" i="1"/>
  <c r="BT16" i="1"/>
  <c r="BL16" i="1"/>
  <c r="BD16" i="1"/>
  <c r="AV16" i="1"/>
  <c r="AN16" i="1"/>
  <c r="AW16" i="1"/>
  <c r="BG16" i="1"/>
  <c r="BR16" i="1"/>
  <c r="AM20" i="1"/>
  <c r="AX20" i="1"/>
  <c r="BH20" i="1"/>
  <c r="BS20" i="1"/>
  <c r="AR21" i="1"/>
  <c r="BB21" i="1"/>
  <c r="BM21" i="1"/>
  <c r="BU22" i="1"/>
  <c r="BM22" i="1"/>
  <c r="BE22" i="1"/>
  <c r="AW22" i="1"/>
  <c r="AO22" i="1"/>
  <c r="BP22" i="1"/>
  <c r="BH22" i="1"/>
  <c r="AZ22" i="1"/>
  <c r="AR22" i="1"/>
  <c r="AV22" i="1"/>
  <c r="BG22" i="1"/>
  <c r="BR22" i="1"/>
  <c r="AO24" i="1"/>
  <c r="AY24" i="1"/>
  <c r="BJ24" i="1"/>
  <c r="BU24" i="1"/>
  <c r="AM26" i="1"/>
  <c r="AX26" i="1"/>
  <c r="BI26" i="1"/>
  <c r="BS26" i="1"/>
  <c r="AN30" i="1"/>
  <c r="AY30" i="1"/>
  <c r="BJ30" i="1"/>
  <c r="BT30" i="1"/>
  <c r="AT15" i="1"/>
  <c r="BB15" i="1"/>
  <c r="BJ15" i="1"/>
  <c r="AT19" i="1"/>
  <c r="BB19" i="1"/>
  <c r="BJ19" i="1"/>
  <c r="AT23" i="1"/>
  <c r="BB23" i="1"/>
  <c r="BJ23" i="1"/>
  <c r="AT27" i="1"/>
  <c r="BB27" i="1"/>
  <c r="BJ27" i="1"/>
  <c r="AT31" i="1"/>
  <c r="BB31" i="1"/>
  <c r="BJ31" i="1"/>
  <c r="BR31" i="1"/>
  <c r="AQ31" i="1"/>
  <c r="AY31" i="1"/>
  <c r="BG31" i="1"/>
  <c r="BY31" i="1" l="1"/>
  <c r="BY6" i="1"/>
  <c r="BY11" i="1"/>
  <c r="BY19" i="1"/>
  <c r="BY14" i="1"/>
  <c r="BY3" i="1"/>
  <c r="BY27" i="1"/>
  <c r="BY35" i="1"/>
  <c r="BY22" i="1"/>
  <c r="BY25" i="1"/>
  <c r="BY36" i="1"/>
  <c r="BY28" i="1"/>
  <c r="BY37" i="1"/>
  <c r="BY4" i="1"/>
  <c r="BY5" i="1"/>
  <c r="BY30" i="1"/>
  <c r="BY32" i="1"/>
  <c r="BY12" i="1"/>
  <c r="BY13" i="1"/>
  <c r="BY7" i="1"/>
  <c r="BY24" i="1"/>
  <c r="BY9" i="1"/>
  <c r="BY20" i="1"/>
  <c r="BY21" i="1"/>
  <c r="BY15" i="1"/>
  <c r="BY8" i="1"/>
  <c r="BZ2" i="1" l="1"/>
</calcChain>
</file>

<file path=xl/sharedStrings.xml><?xml version="1.0" encoding="utf-8"?>
<sst xmlns="http://schemas.openxmlformats.org/spreadsheetml/2006/main" count="144" uniqueCount="120">
  <si>
    <t>Stock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</si>
  <si>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</si>
  <si>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</si>
  <si>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</si>
  <si>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</si>
  <si>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</si>
  <si>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</si>
  <si>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</si>
  <si>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</si>
  <si>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</si>
  <si>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</si>
  <si>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</si>
  <si>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</si>
  <si>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</si>
  <si>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</si>
  <si>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</si>
  <si>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</si>
  <si>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</si>
  <si>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</si>
  <si>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</si>
  <si>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</si>
  <si>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</si>
  <si>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</si>
  <si>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</si>
  <si>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</si>
  <si>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</si>
  <si>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</si>
  <si>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</si>
  <si>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</si>
  <si>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</si>
  <si>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</si>
  <si>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</si>
  <si>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</si>
  <si>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</si>
  <si>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</si>
  <si>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</si>
  <si>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</si>
  <si>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AVERAGE RETURN</t>
  </si>
  <si>
    <t>Dev M1</t>
  </si>
  <si>
    <t>Dev M2</t>
  </si>
  <si>
    <t>Dev M3</t>
  </si>
  <si>
    <t>Dev M4</t>
  </si>
  <si>
    <t>Dev M5</t>
  </si>
  <si>
    <t>Dev M6</t>
  </si>
  <si>
    <t>Dev M7</t>
  </si>
  <si>
    <t>Dev M8</t>
  </si>
  <si>
    <t>Dev M9</t>
  </si>
  <si>
    <t>Dev M10</t>
  </si>
  <si>
    <t>Dev M11</t>
  </si>
  <si>
    <t>Dev M12</t>
  </si>
  <si>
    <t>Dev M13</t>
  </si>
  <si>
    <t>Dev M14</t>
  </si>
  <si>
    <t>Dev M15</t>
  </si>
  <si>
    <t>Dev M16</t>
  </si>
  <si>
    <t>Dev M17</t>
  </si>
  <si>
    <t>Dev M18</t>
  </si>
  <si>
    <t>Dev M19</t>
  </si>
  <si>
    <t>Dev M20</t>
  </si>
  <si>
    <t>Dev M21</t>
  </si>
  <si>
    <t>Dev M22</t>
  </si>
  <si>
    <t>Dev M23</t>
  </si>
  <si>
    <t>Dev M24</t>
  </si>
  <si>
    <t>Dev M25</t>
  </si>
  <si>
    <t>Dev M26</t>
  </si>
  <si>
    <t>Dev M27</t>
  </si>
  <si>
    <t>Dev M28</t>
  </si>
  <si>
    <t>Dev M29</t>
  </si>
  <si>
    <t>Dev M30</t>
  </si>
  <si>
    <t>Dev M31</t>
  </si>
  <si>
    <t>Dev M32</t>
  </si>
  <si>
    <t>Dev M33</t>
  </si>
  <si>
    <t>Dev M34</t>
  </si>
  <si>
    <t>Dev M35</t>
  </si>
  <si>
    <t>Dev M36</t>
  </si>
  <si>
    <t>SECTOR</t>
  </si>
  <si>
    <t>Investment Weight (x)</t>
  </si>
  <si>
    <t>Average Volume</t>
  </si>
  <si>
    <t>HDFC BANK</t>
  </si>
  <si>
    <t>Banking</t>
  </si>
  <si>
    <t>ICICI BANK</t>
  </si>
  <si>
    <t>AXIS BANK</t>
  </si>
  <si>
    <t>STATE BANK OF INDIA</t>
  </si>
  <si>
    <t>BAJAJ FINANCE</t>
  </si>
  <si>
    <t>LARSON  &amp; TOUBRO</t>
  </si>
  <si>
    <t>Industrial and Infrastructure</t>
  </si>
  <si>
    <t>SIEMENS INDIA</t>
  </si>
  <si>
    <t>ADANI PORTS</t>
  </si>
  <si>
    <t>ABB INDIA</t>
  </si>
  <si>
    <t>BEL</t>
  </si>
  <si>
    <t>RELIANCE INDUSTRIES</t>
  </si>
  <si>
    <t>Energy and Utilities</t>
  </si>
  <si>
    <t>ONGC</t>
  </si>
  <si>
    <t>NTPC</t>
  </si>
  <si>
    <t>POWERGRID</t>
  </si>
  <si>
    <t>ADANI GREEN ENERGY</t>
  </si>
  <si>
    <t>INFOSYS</t>
  </si>
  <si>
    <t>IT &amp; Tech</t>
  </si>
  <si>
    <t>TCS</t>
  </si>
  <si>
    <t>WIPRO</t>
  </si>
  <si>
    <t>HCL TECHNOLOGIES</t>
  </si>
  <si>
    <t>LTIMINDTREE</t>
  </si>
  <si>
    <t>SUNPHARMA</t>
  </si>
  <si>
    <t>Healthcare and Pharma</t>
  </si>
  <si>
    <t>DR.REDDY'S LABS</t>
  </si>
  <si>
    <t>CIPLA</t>
  </si>
  <si>
    <t>DIVI'S LABS</t>
  </si>
  <si>
    <t>APOLLO HOSPITALS</t>
  </si>
  <si>
    <t>HINDUSTAN UNILEVER</t>
  </si>
  <si>
    <t>Consumer Goods &amp; FMCG</t>
  </si>
  <si>
    <t>ITC</t>
  </si>
  <si>
    <t>NESTLE INDIA</t>
  </si>
  <si>
    <t>ASIANPAINT</t>
  </si>
  <si>
    <t>BRITANNIA</t>
  </si>
  <si>
    <t>Weighted monthly deviation</t>
  </si>
  <si>
    <t>Objective  Function</t>
  </si>
  <si>
    <t>&lt;-----Sector diversification (must be greater than 5)</t>
  </si>
  <si>
    <t>Budget constraint -----&gt;</t>
  </si>
  <si>
    <t>Expected return of portfolio----&gt;</t>
  </si>
  <si>
    <t>Weighted average trading volume----&gt;</t>
  </si>
  <si>
    <t>&lt;------- 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</si>
</sst>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2" xfId="0" applyFont="1" applyBorder="1" applyAlignment="1">
      <alignment horizontal="right" wrapText="1"/>
    </xf>
    <xf numFmtId="15" fontId="1" fillId="0" borderId="0" xfId="0" applyNumberFormat="1" applyFont="1"/>
    <xf numFmtId="0" fontId="0" fillId="0" borderId="3" xfId="0" applyBorder="1"/>
    <xf numFmtId="0" fontId="2" fillId="2" borderId="2" xfId="0" applyFont="1" applyFill="1" applyBorder="1" applyAlignment="1">
      <alignment horizontal="right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9B7C-3424-4501-A04A-E95BE8ECFE3A}">
  <dimension ref="A1:CD37"/>
  <sheetViews>
    <sheetView tabSelected="1" topLeftCell="BH1" zoomScale="68" workbookViewId="0">
      <selection activeCell="CH39" sqref="CH39"/>
    </sheetView>
  </sheetViews>
  <sheetFormatPr defaultRowHeight="14.4" x14ac:dyDescent="0.3"/>
  <cols>
    <col min="1" max="1" width="19.6640625" bestFit="1" customWidth="1"/>
    <col min="38" max="38" width="15.88671875" bestFit="1" customWidth="1"/>
    <col min="75" max="75" width="23.44140625" bestFit="1" customWidth="1"/>
    <col min="76" max="76" width="19.21875" bestFit="1" customWidth="1"/>
    <col min="77" max="77" width="24.44140625" bestFit="1" customWidth="1"/>
    <col min="78" max="78" width="17.21875" bestFit="1" customWidth="1"/>
    <col min="79" max="79" width="14.33203125" bestFit="1" customWidth="1"/>
  </cols>
  <sheetData>
    <row r="1" spans="1:8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2" t="s">
        <v>75</v>
      </c>
      <c r="BY1" s="4" t="s">
        <v>113</v>
      </c>
      <c r="BZ1" s="2" t="s">
        <v>114</v>
      </c>
      <c r="CA1" s="2" t="s">
        <v>76</v>
      </c>
    </row>
    <row r="2" spans="1:82" ht="15" thickBot="1" x14ac:dyDescent="0.35">
      <c r="A2" s="10" t="s">
        <v>77</v>
      </c>
      <c r="B2" s="3">
        <v>3.1417015740000001E-3</v>
      </c>
      <c r="C2" s="3">
        <v>-2.948270276E-2</v>
      </c>
      <c r="D2" s="3">
        <v>6.3946587540000002E-2</v>
      </c>
      <c r="E2" s="3">
        <v>3.6187421560000002E-2</v>
      </c>
      <c r="F2" s="3">
        <v>-4.3570419220000003E-2</v>
      </c>
      <c r="G2" s="3">
        <v>5.3012980619999997E-2</v>
      </c>
      <c r="H2" s="3">
        <v>7.4664261379999999E-2</v>
      </c>
      <c r="I2" s="3">
        <v>1.2247816220000001E-2</v>
      </c>
      <c r="J2" s="3">
        <v>-1.513988269E-2</v>
      </c>
      <c r="K2" s="3">
        <v>-2.4321796070000002E-3</v>
      </c>
      <c r="L2" s="3">
        <v>6.2203050760000003E-3</v>
      </c>
      <c r="M2" s="3">
        <v>4.8491814479999999E-2</v>
      </c>
      <c r="N2" s="3">
        <v>-4.5478786440000002E-2</v>
      </c>
      <c r="O2" s="3">
        <v>5.6212558590000003E-2</v>
      </c>
      <c r="P2" s="3">
        <v>-2.9505113440000001E-2</v>
      </c>
      <c r="Q2" s="3">
        <v>-4.8298207359999998E-2</v>
      </c>
      <c r="R2" s="3">
        <v>-2.8731426389999998E-2</v>
      </c>
      <c r="S2" s="3">
        <v>-3.2627923740000002E-2</v>
      </c>
      <c r="T2" s="3">
        <v>5.5739925500000002E-2</v>
      </c>
      <c r="U2" s="3">
        <v>9.6516551189999994E-2</v>
      </c>
      <c r="V2" s="3">
        <v>-0.14433230950000001</v>
      </c>
      <c r="W2" s="3">
        <v>-4.0443061779999998E-2</v>
      </c>
      <c r="X2" s="3">
        <v>3.1708707420000003E-2</v>
      </c>
      <c r="Y2" s="3">
        <v>4.9865322189999998E-2</v>
      </c>
      <c r="Z2" s="3">
        <v>7.5323991839999997E-3</v>
      </c>
      <c r="AA2" s="3">
        <v>9.9409095360000005E-2</v>
      </c>
      <c r="AB2" s="3">
        <v>-4.0414538540000003E-2</v>
      </c>
      <c r="AC2" s="3">
        <v>1.308989633E-2</v>
      </c>
      <c r="AD2" s="3">
        <v>5.8128169100000002E-2</v>
      </c>
      <c r="AE2" s="3">
        <v>2.1073294650000001E-3</v>
      </c>
      <c r="AF2" s="3">
        <v>3.47698335E-2</v>
      </c>
      <c r="AG2" s="3">
        <v>-1.2917235040000001E-2</v>
      </c>
      <c r="AH2" s="3">
        <v>-4.1797106350000002E-2</v>
      </c>
      <c r="AI2" s="3">
        <v>1.9808682859999999E-2</v>
      </c>
      <c r="AJ2" s="3">
        <v>5.5299007159999997E-2</v>
      </c>
      <c r="AK2" s="3">
        <v>4.5399846840000001E-2</v>
      </c>
      <c r="AL2">
        <f>AVERAGE(B2:AK2)</f>
        <v>1.0231370007833331E-2</v>
      </c>
      <c r="AM2">
        <f>B2-$AL2</f>
        <v>-7.0896684338333307E-3</v>
      </c>
      <c r="AN2">
        <f t="shared" ref="AN2:BC17" si="0">C2-$AL2</f>
        <v>-3.9714072767833328E-2</v>
      </c>
      <c r="AO2">
        <f t="shared" si="0"/>
        <v>5.3715217532166668E-2</v>
      </c>
      <c r="AP2">
        <f t="shared" si="0"/>
        <v>2.5956051552166671E-2</v>
      </c>
      <c r="AQ2">
        <f t="shared" si="0"/>
        <v>-5.3801789227833338E-2</v>
      </c>
      <c r="AR2">
        <f t="shared" si="0"/>
        <v>4.2781610612166662E-2</v>
      </c>
      <c r="AS2">
        <f t="shared" si="0"/>
        <v>6.4432891372166665E-2</v>
      </c>
      <c r="AT2">
        <f t="shared" si="0"/>
        <v>2.0164462121666695E-3</v>
      </c>
      <c r="AU2">
        <f t="shared" si="0"/>
        <v>-2.537125269783333E-2</v>
      </c>
      <c r="AV2">
        <f t="shared" si="0"/>
        <v>-1.2663549614833331E-2</v>
      </c>
      <c r="AW2">
        <f t="shared" si="0"/>
        <v>-4.0110649318333309E-3</v>
      </c>
      <c r="AX2">
        <f t="shared" si="0"/>
        <v>3.8260444472166671E-2</v>
      </c>
      <c r="AY2">
        <f t="shared" si="0"/>
        <v>-5.5710156447833337E-2</v>
      </c>
      <c r="AZ2">
        <f t="shared" si="0"/>
        <v>4.5981188582166668E-2</v>
      </c>
      <c r="BA2">
        <f t="shared" si="0"/>
        <v>-3.9736483447833329E-2</v>
      </c>
      <c r="BB2">
        <f t="shared" si="0"/>
        <v>-5.8529577367833333E-2</v>
      </c>
      <c r="BC2">
        <f t="shared" si="0"/>
        <v>-3.896279639783333E-2</v>
      </c>
      <c r="BD2">
        <f t="shared" ref="BD2:BS17" si="1">S2-$AL2</f>
        <v>-4.285929374783333E-2</v>
      </c>
      <c r="BE2">
        <f t="shared" si="1"/>
        <v>4.5508555492166675E-2</v>
      </c>
      <c r="BF2">
        <f t="shared" si="1"/>
        <v>8.6285181182166659E-2</v>
      </c>
      <c r="BG2">
        <f t="shared" si="1"/>
        <v>-0.15456367950783334</v>
      </c>
      <c r="BH2">
        <f t="shared" si="1"/>
        <v>-5.0674431787833332E-2</v>
      </c>
      <c r="BI2">
        <f t="shared" si="1"/>
        <v>2.1477337412166671E-2</v>
      </c>
      <c r="BJ2">
        <f t="shared" si="1"/>
        <v>3.9633952182166671E-2</v>
      </c>
      <c r="BK2">
        <f t="shared" si="1"/>
        <v>-2.6989708238333316E-3</v>
      </c>
      <c r="BL2">
        <f t="shared" si="1"/>
        <v>8.917772535216667E-2</v>
      </c>
      <c r="BM2">
        <f t="shared" si="1"/>
        <v>-5.0645908547833338E-2</v>
      </c>
      <c r="BN2">
        <f t="shared" si="1"/>
        <v>2.8585263221666685E-3</v>
      </c>
      <c r="BO2">
        <f t="shared" si="1"/>
        <v>4.7896799092166667E-2</v>
      </c>
      <c r="BP2">
        <f t="shared" si="1"/>
        <v>-8.1240405428333311E-3</v>
      </c>
      <c r="BQ2">
        <f t="shared" si="1"/>
        <v>2.4538463492166668E-2</v>
      </c>
      <c r="BR2">
        <f t="shared" si="1"/>
        <v>-2.314860504783333E-2</v>
      </c>
      <c r="BS2">
        <f t="shared" si="1"/>
        <v>-5.2028476357833336E-2</v>
      </c>
      <c r="BT2">
        <f t="shared" ref="BT2:BV17" si="2">AI2-$AL2</f>
        <v>9.5773128521666681E-3</v>
      </c>
      <c r="BU2">
        <f t="shared" si="2"/>
        <v>4.5067637152166662E-2</v>
      </c>
      <c r="BV2">
        <f t="shared" si="2"/>
        <v>3.5168476832166673E-2</v>
      </c>
      <c r="BW2" t="s">
        <v>78</v>
      </c>
      <c r="BX2">
        <v>0.36631011313839751</v>
      </c>
      <c r="BY2">
        <f>SUMPRODUCT(Dev_M1,$BX$2:$BX$31)</f>
        <v>-2.5339353041937539E-2</v>
      </c>
      <c r="BZ2">
        <f>SUMPRODUCT(BY2:BY37,BY2:BY37)</f>
        <v>3.0740034256079601E-2</v>
      </c>
      <c r="CA2">
        <v>70690240.090000004</v>
      </c>
      <c r="CB2">
        <f>IF(SUMIFS(BX2:BX31,BW2:BW31,"Banking")&gt;0,1,0)</f>
        <v>1</v>
      </c>
    </row>
    <row r="3" spans="1:82" ht="15" thickBot="1" x14ac:dyDescent="0.35">
      <c r="A3" s="10" t="s">
        <v>79</v>
      </c>
      <c r="B3" s="3">
        <v>1.284810978E-2</v>
      </c>
      <c r="C3" s="3">
        <v>-6.0636248919999997E-2</v>
      </c>
      <c r="D3" s="3">
        <v>0.15752262440000001</v>
      </c>
      <c r="E3" s="3">
        <v>8.3923772290000004E-2</v>
      </c>
      <c r="F3" s="3">
        <v>-2.8513467819999999E-2</v>
      </c>
      <c r="G3" s="3">
        <v>5.4176334110000002E-2</v>
      </c>
      <c r="H3" s="3">
        <v>4.864091559E-2</v>
      </c>
      <c r="I3" s="3">
        <v>-6.5117011229999994E-2</v>
      </c>
      <c r="J3" s="3">
        <v>-6.6172756360000001E-2</v>
      </c>
      <c r="K3" s="3">
        <v>2.7587450409999999E-2</v>
      </c>
      <c r="L3" s="3">
        <v>2.6203427500000001E-2</v>
      </c>
      <c r="M3" s="3">
        <v>4.6053006549999997E-2</v>
      </c>
      <c r="N3" s="3">
        <v>3.4326813060000003E-2</v>
      </c>
      <c r="O3" s="3">
        <v>-1.532950535E-2</v>
      </c>
      <c r="P3" s="3">
        <v>6.8157500529999998E-2</v>
      </c>
      <c r="Q3" s="3">
        <v>-3.9617349490000002E-2</v>
      </c>
      <c r="R3" s="3">
        <v>-7.1447196870000002E-3</v>
      </c>
      <c r="S3" s="3">
        <v>-3.8396890429999997E-2</v>
      </c>
      <c r="T3" s="3">
        <v>2.1412574430000001E-2</v>
      </c>
      <c r="U3" s="3">
        <v>6.5939355049999995E-2</v>
      </c>
      <c r="V3" s="3">
        <v>3.165763596E-2</v>
      </c>
      <c r="W3" s="3">
        <v>2.3391528469999999E-2</v>
      </c>
      <c r="X3" s="3">
        <v>3.9061015019999999E-2</v>
      </c>
      <c r="Y3" s="3">
        <v>5.2227202049999998E-2</v>
      </c>
      <c r="Z3" s="3">
        <v>-2.551286509E-2</v>
      </c>
      <c r="AA3" s="3">
        <v>7.0068239599999999E-2</v>
      </c>
      <c r="AB3" s="3">
        <v>1.2754251419999999E-2</v>
      </c>
      <c r="AC3" s="3">
        <v>1.177051609E-2</v>
      </c>
      <c r="AD3" s="3">
        <v>3.5632931989999998E-2</v>
      </c>
      <c r="AE3" s="3">
        <v>1.5121759619999999E-2</v>
      </c>
      <c r="AF3" s="3">
        <v>6.074675953E-3</v>
      </c>
      <c r="AG3" s="3">
        <v>-1.4191216059999999E-2</v>
      </c>
      <c r="AH3" s="3">
        <v>-2.251004564E-2</v>
      </c>
      <c r="AI3" s="3">
        <v>-3.8872924650000001E-2</v>
      </c>
      <c r="AJ3" s="3">
        <v>0.11979902000000001</v>
      </c>
      <c r="AK3" s="3">
        <v>4.1865984350000003E-2</v>
      </c>
      <c r="AL3">
        <f t="shared" ref="AL3:AL31" si="3">AVERAGE(B3:AK3)</f>
        <v>1.9005601208222214E-2</v>
      </c>
      <c r="AM3">
        <f t="shared" ref="AM3:BB31" si="4">B3-$AL3</f>
        <v>-6.1574914282222139E-3</v>
      </c>
      <c r="AN3">
        <f t="shared" si="0"/>
        <v>-7.9641850128222211E-2</v>
      </c>
      <c r="AO3">
        <f t="shared" si="0"/>
        <v>0.13851702319177778</v>
      </c>
      <c r="AP3">
        <f t="shared" si="0"/>
        <v>6.491817108177779E-2</v>
      </c>
      <c r="AQ3">
        <f t="shared" si="0"/>
        <v>-4.7519069028222213E-2</v>
      </c>
      <c r="AR3">
        <f t="shared" si="0"/>
        <v>3.5170732901777788E-2</v>
      </c>
      <c r="AS3">
        <f t="shared" si="0"/>
        <v>2.9635314381777786E-2</v>
      </c>
      <c r="AT3">
        <f t="shared" si="0"/>
        <v>-8.4122612438222208E-2</v>
      </c>
      <c r="AU3">
        <f t="shared" si="0"/>
        <v>-8.5178357568222215E-2</v>
      </c>
      <c r="AV3">
        <f t="shared" si="0"/>
        <v>8.5818492017777845E-3</v>
      </c>
      <c r="AW3">
        <f t="shared" si="0"/>
        <v>7.1978262917777869E-3</v>
      </c>
      <c r="AX3">
        <f t="shared" si="0"/>
        <v>2.7047405341777783E-2</v>
      </c>
      <c r="AY3">
        <f t="shared" si="0"/>
        <v>1.5321211851777788E-2</v>
      </c>
      <c r="AZ3">
        <f t="shared" si="0"/>
        <v>-3.4335106558222216E-2</v>
      </c>
      <c r="BA3">
        <f t="shared" si="0"/>
        <v>4.9151899321777784E-2</v>
      </c>
      <c r="BB3">
        <f t="shared" si="0"/>
        <v>-5.8622950698222216E-2</v>
      </c>
      <c r="BC3">
        <f t="shared" si="0"/>
        <v>-2.6150320895222214E-2</v>
      </c>
      <c r="BD3">
        <f t="shared" si="1"/>
        <v>-5.7402491638222211E-2</v>
      </c>
      <c r="BE3">
        <f t="shared" si="1"/>
        <v>2.4069732217777869E-3</v>
      </c>
      <c r="BF3">
        <f t="shared" si="1"/>
        <v>4.6933753841777781E-2</v>
      </c>
      <c r="BG3">
        <f t="shared" si="1"/>
        <v>1.2652034751777785E-2</v>
      </c>
      <c r="BH3">
        <f t="shared" si="1"/>
        <v>4.3859272617777847E-3</v>
      </c>
      <c r="BI3">
        <f t="shared" si="1"/>
        <v>2.0055413811777785E-2</v>
      </c>
      <c r="BJ3">
        <f t="shared" si="1"/>
        <v>3.3221600841777783E-2</v>
      </c>
      <c r="BK3">
        <f t="shared" si="1"/>
        <v>-4.4518466298222217E-2</v>
      </c>
      <c r="BL3">
        <f t="shared" si="1"/>
        <v>5.1062638391777784E-2</v>
      </c>
      <c r="BM3">
        <f t="shared" si="1"/>
        <v>-6.2513497882222147E-3</v>
      </c>
      <c r="BN3">
        <f t="shared" si="1"/>
        <v>-7.2350851182222137E-3</v>
      </c>
      <c r="BO3">
        <f t="shared" si="1"/>
        <v>1.6627330781777784E-2</v>
      </c>
      <c r="BP3">
        <f t="shared" si="1"/>
        <v>-3.8838415882222147E-3</v>
      </c>
      <c r="BQ3">
        <f t="shared" si="1"/>
        <v>-1.2930925255222214E-2</v>
      </c>
      <c r="BR3">
        <f t="shared" si="1"/>
        <v>-3.3196817268222212E-2</v>
      </c>
      <c r="BS3">
        <f t="shared" si="1"/>
        <v>-4.1515646848222218E-2</v>
      </c>
      <c r="BT3">
        <f t="shared" si="2"/>
        <v>-5.7878525858222216E-2</v>
      </c>
      <c r="BU3">
        <f t="shared" si="2"/>
        <v>0.10079341879177779</v>
      </c>
      <c r="BV3">
        <f t="shared" si="2"/>
        <v>2.2860383141777789E-2</v>
      </c>
      <c r="BW3" t="s">
        <v>78</v>
      </c>
      <c r="BX3">
        <v>0</v>
      </c>
      <c r="BY3">
        <f>SUMPRODUCT(AN$2:AN$31,$BX$2:$BX$31)</f>
        <v>-5.0189647356492874E-2</v>
      </c>
      <c r="CA3">
        <v>68284763.469999999</v>
      </c>
      <c r="CB3">
        <f>IF(SUMIFS(BX2:BX31,BW2:BW31,"Industrial and Infrastructure")&gt;0,1,0)</f>
        <v>1</v>
      </c>
    </row>
    <row r="4" spans="1:82" ht="15" thickBot="1" x14ac:dyDescent="0.35">
      <c r="A4" s="10" t="s">
        <v>80</v>
      </c>
      <c r="B4" s="3">
        <v>-5.9566291520000002E-2</v>
      </c>
      <c r="C4" s="3">
        <v>-7.0636310569999999E-2</v>
      </c>
      <c r="D4" s="3">
        <v>0.13811243719999999</v>
      </c>
      <c r="E4" s="3">
        <v>3.6909279060000001E-2</v>
      </c>
      <c r="F4" s="3">
        <v>-2.435129741E-2</v>
      </c>
      <c r="G4" s="3">
        <v>0.2356792144</v>
      </c>
      <c r="H4" s="3">
        <v>-5.2428256070000002E-3</v>
      </c>
      <c r="I4" s="3">
        <v>3.6061026349999997E-2</v>
      </c>
      <c r="J4" s="3">
        <v>-6.6559571619999994E-2</v>
      </c>
      <c r="K4" s="3">
        <v>-3.1551170259999997E-2</v>
      </c>
      <c r="L4" s="3">
        <v>1.7059590100000001E-2</v>
      </c>
      <c r="M4" s="3">
        <v>1.7472335469999999E-3</v>
      </c>
      <c r="N4" s="3">
        <v>6.3779069770000002E-2</v>
      </c>
      <c r="O4" s="3">
        <v>7.9357271679999994E-2</v>
      </c>
      <c r="P4" s="3">
        <v>-3.3976403869999998E-2</v>
      </c>
      <c r="Q4" s="3">
        <v>2.0547227170000001E-2</v>
      </c>
      <c r="R4" s="3">
        <v>6.4920390339999995E-2</v>
      </c>
      <c r="S4" s="3">
        <v>-5.2908266619999998E-2</v>
      </c>
      <c r="T4" s="3">
        <v>9.4108061310000005E-2</v>
      </c>
      <c r="U4" s="3">
        <v>2.6111240399999999E-2</v>
      </c>
      <c r="V4" s="3">
        <v>-3.134355439E-2</v>
      </c>
      <c r="W4" s="3">
        <v>6.8836338089999999E-3</v>
      </c>
      <c r="X4" s="3">
        <v>-2.595107432E-2</v>
      </c>
      <c r="Y4" s="3">
        <v>0.1133498854</v>
      </c>
      <c r="Z4" s="3">
        <v>-3.2163993479999999E-3</v>
      </c>
      <c r="AA4" s="3">
        <v>8.8714881900000001E-2</v>
      </c>
      <c r="AB4" s="3">
        <v>-7.8363959689999999E-2</v>
      </c>
      <c r="AC4" s="3">
        <v>7.8466683820000004E-3</v>
      </c>
      <c r="AD4" s="3">
        <v>4.8457774939999997E-2</v>
      </c>
      <c r="AE4" s="3">
        <v>-5.895958448E-2</v>
      </c>
      <c r="AF4" s="3">
        <v>-2.0050881810000001E-2</v>
      </c>
      <c r="AG4" s="3">
        <v>-6.3011528649999995E-2</v>
      </c>
      <c r="AH4" s="3">
        <v>-7.3823612290000007E-2</v>
      </c>
      <c r="AI4" s="3">
        <v>2.9865125239999998E-2</v>
      </c>
      <c r="AJ4" s="3">
        <v>8.5126286250000002E-2</v>
      </c>
      <c r="AK4" s="3">
        <v>5.8348457350000001E-2</v>
      </c>
      <c r="AL4">
        <f t="shared" si="3"/>
        <v>1.5374222837305555E-2</v>
      </c>
      <c r="AM4">
        <f t="shared" si="4"/>
        <v>-7.494051435730556E-2</v>
      </c>
      <c r="AN4">
        <f t="shared" si="0"/>
        <v>-8.6010533407305551E-2</v>
      </c>
      <c r="AO4">
        <f t="shared" si="0"/>
        <v>0.12273821436269444</v>
      </c>
      <c r="AP4">
        <f t="shared" si="0"/>
        <v>2.1535056222694447E-2</v>
      </c>
      <c r="AQ4">
        <f t="shared" si="0"/>
        <v>-3.9725520247305551E-2</v>
      </c>
      <c r="AR4">
        <f t="shared" si="0"/>
        <v>0.22030499156269445</v>
      </c>
      <c r="AS4">
        <f t="shared" si="0"/>
        <v>-2.0617048444305557E-2</v>
      </c>
      <c r="AT4">
        <f t="shared" si="0"/>
        <v>2.0686803512694443E-2</v>
      </c>
      <c r="AU4">
        <f t="shared" si="0"/>
        <v>-8.1933794457305545E-2</v>
      </c>
      <c r="AV4">
        <f t="shared" si="0"/>
        <v>-4.6925393097305548E-2</v>
      </c>
      <c r="AW4">
        <f t="shared" si="0"/>
        <v>1.6853672626944462E-3</v>
      </c>
      <c r="AX4">
        <f t="shared" si="0"/>
        <v>-1.3626989290305555E-2</v>
      </c>
      <c r="AY4">
        <f t="shared" si="0"/>
        <v>4.8404846932694451E-2</v>
      </c>
      <c r="AZ4">
        <f t="shared" si="0"/>
        <v>6.3983048842694443E-2</v>
      </c>
      <c r="BA4">
        <f t="shared" si="0"/>
        <v>-4.9350626707305556E-2</v>
      </c>
      <c r="BB4">
        <f t="shared" si="0"/>
        <v>5.1730043326944468E-3</v>
      </c>
      <c r="BC4">
        <f t="shared" si="0"/>
        <v>4.9546167502694444E-2</v>
      </c>
      <c r="BD4">
        <f t="shared" si="1"/>
        <v>-6.8282489457305556E-2</v>
      </c>
      <c r="BE4">
        <f t="shared" si="1"/>
        <v>7.8733838472694453E-2</v>
      </c>
      <c r="BF4">
        <f t="shared" si="1"/>
        <v>1.0737017562694445E-2</v>
      </c>
      <c r="BG4">
        <f t="shared" si="1"/>
        <v>-4.6717777227305551E-2</v>
      </c>
      <c r="BH4">
        <f t="shared" si="1"/>
        <v>-8.4905890283055556E-3</v>
      </c>
      <c r="BI4">
        <f t="shared" si="1"/>
        <v>-4.1325297157305554E-2</v>
      </c>
      <c r="BJ4">
        <f t="shared" si="1"/>
        <v>9.7975662562694452E-2</v>
      </c>
      <c r="BK4">
        <f t="shared" si="1"/>
        <v>-1.8590622185305553E-2</v>
      </c>
      <c r="BL4">
        <f t="shared" si="1"/>
        <v>7.3340659062694449E-2</v>
      </c>
      <c r="BM4">
        <f t="shared" si="1"/>
        <v>-9.373818252730555E-2</v>
      </c>
      <c r="BN4">
        <f t="shared" si="1"/>
        <v>-7.5275544553055542E-3</v>
      </c>
      <c r="BO4">
        <f t="shared" si="1"/>
        <v>3.3083552102694438E-2</v>
      </c>
      <c r="BP4">
        <f t="shared" si="1"/>
        <v>-7.4333807317305559E-2</v>
      </c>
      <c r="BQ4">
        <f t="shared" si="1"/>
        <v>-3.5425104647305555E-2</v>
      </c>
      <c r="BR4">
        <f t="shared" si="1"/>
        <v>-7.8385751487305547E-2</v>
      </c>
      <c r="BS4">
        <f t="shared" si="1"/>
        <v>-8.9197835127305558E-2</v>
      </c>
      <c r="BT4">
        <f t="shared" si="2"/>
        <v>1.4490902402694444E-2</v>
      </c>
      <c r="BU4">
        <f t="shared" si="2"/>
        <v>6.9752063412694451E-2</v>
      </c>
      <c r="BV4">
        <f t="shared" si="2"/>
        <v>4.2974234512694443E-2</v>
      </c>
      <c r="BW4" t="s">
        <v>78</v>
      </c>
      <c r="BX4">
        <v>0</v>
      </c>
      <c r="BY4">
        <f>SUMPRODUCT(AO$2:AO$31,$BX$2:$BX$31)</f>
        <v>3.53039902856035E-2</v>
      </c>
      <c r="CA4">
        <v>46045495.32</v>
      </c>
      <c r="CB4">
        <f>IF(SUMIFS(BX2:BX31,BW2:BW31,"Energy and Utilities")&gt;0,1,0)</f>
        <v>1</v>
      </c>
    </row>
    <row r="5" spans="1:82" ht="15" thickBot="1" x14ac:dyDescent="0.35">
      <c r="A5" s="10" t="s">
        <v>81</v>
      </c>
      <c r="B5" s="3">
        <v>-5.6820471490000003E-2</v>
      </c>
      <c r="C5" s="3">
        <v>-4.6998504589999997E-3</v>
      </c>
      <c r="D5" s="3">
        <v>0.1340416398</v>
      </c>
      <c r="E5" s="3">
        <v>5.488785843E-3</v>
      </c>
      <c r="F5" s="3">
        <v>-1.223529412E-3</v>
      </c>
      <c r="G5" s="3">
        <v>8.1417263480000002E-2</v>
      </c>
      <c r="H5" s="3">
        <v>4.99302893E-2</v>
      </c>
      <c r="I5" s="3">
        <v>1.8673748859999999E-2</v>
      </c>
      <c r="J5" s="3">
        <v>-9.8093531040000001E-2</v>
      </c>
      <c r="K5" s="3">
        <v>-5.5465221320000001E-2</v>
      </c>
      <c r="L5" s="3">
        <v>1.8171384850000001E-3</v>
      </c>
      <c r="M5" s="3">
        <v>0.1041527446</v>
      </c>
      <c r="N5" s="3">
        <v>2.6802697559999999E-3</v>
      </c>
      <c r="O5" s="3">
        <v>-1.2072087610000001E-2</v>
      </c>
      <c r="P5" s="3">
        <v>8.2656890979999995E-2</v>
      </c>
      <c r="Q5" s="3">
        <v>-9.4888745570000002E-2</v>
      </c>
      <c r="R5" s="3">
        <v>6.6268816250000001E-2</v>
      </c>
      <c r="S5" s="3">
        <v>-5.513323866E-2</v>
      </c>
      <c r="T5" s="3">
        <v>-1.414552206E-3</v>
      </c>
      <c r="U5" s="3">
        <v>0.1368747233</v>
      </c>
      <c r="V5" s="3">
        <v>-2.4141422009999998E-3</v>
      </c>
      <c r="W5" s="3">
        <v>0.16799375489999999</v>
      </c>
      <c r="X5" s="3">
        <v>5.681058682E-3</v>
      </c>
      <c r="Y5" s="3">
        <v>9.8225559909999996E-2</v>
      </c>
      <c r="Z5" s="6">
        <v>4.9621785170000004E-3</v>
      </c>
      <c r="AA5" s="3">
        <v>2.2400192690000001E-2</v>
      </c>
      <c r="AB5" s="3">
        <v>2.7622357029999999E-2</v>
      </c>
      <c r="AC5" s="3">
        <v>-6.5107748739999999E-2</v>
      </c>
      <c r="AD5" s="3">
        <v>-3.3962726829999998E-2</v>
      </c>
      <c r="AE5" s="3">
        <v>4.0995050130000002E-2</v>
      </c>
      <c r="AF5" s="3">
        <v>2.286027798E-2</v>
      </c>
      <c r="AG5" s="3">
        <v>-5.2446510520000003E-2</v>
      </c>
      <c r="AH5" s="3">
        <v>-2.7737593559999999E-2</v>
      </c>
      <c r="AI5" s="3">
        <v>-0.10881097169999999</v>
      </c>
      <c r="AJ5" s="3">
        <v>0.1200638792</v>
      </c>
      <c r="AK5" s="3">
        <v>3.5191185999999999E-2</v>
      </c>
      <c r="AL5">
        <f t="shared" si="3"/>
        <v>1.554741345486111E-2</v>
      </c>
      <c r="AM5">
        <f t="shared" si="4"/>
        <v>-7.2367884944861113E-2</v>
      </c>
      <c r="AN5">
        <f t="shared" si="0"/>
        <v>-2.024726391386111E-2</v>
      </c>
      <c r="AO5">
        <f t="shared" si="0"/>
        <v>0.1184942263451389</v>
      </c>
      <c r="AP5">
        <f t="shared" si="0"/>
        <v>-1.0058627611861111E-2</v>
      </c>
      <c r="AQ5">
        <f t="shared" si="0"/>
        <v>-1.6770942866861111E-2</v>
      </c>
      <c r="AR5">
        <f t="shared" si="0"/>
        <v>6.5869850025138899E-2</v>
      </c>
      <c r="AS5">
        <f t="shared" si="0"/>
        <v>3.438287584513889E-2</v>
      </c>
      <c r="AT5">
        <f t="shared" si="0"/>
        <v>3.1263354051388886E-3</v>
      </c>
      <c r="AU5">
        <f t="shared" si="0"/>
        <v>-0.11364094449486112</v>
      </c>
      <c r="AV5">
        <f t="shared" si="0"/>
        <v>-7.1012634774861111E-2</v>
      </c>
      <c r="AW5">
        <f t="shared" si="0"/>
        <v>-1.373027496986111E-2</v>
      </c>
      <c r="AX5">
        <f t="shared" si="0"/>
        <v>8.8605331145138883E-2</v>
      </c>
      <c r="AY5">
        <f t="shared" si="0"/>
        <v>-1.2867143698861111E-2</v>
      </c>
      <c r="AZ5">
        <f t="shared" si="0"/>
        <v>-2.7619501064861111E-2</v>
      </c>
      <c r="BA5">
        <f t="shared" si="0"/>
        <v>6.7109477525138878E-2</v>
      </c>
      <c r="BB5">
        <f t="shared" si="0"/>
        <v>-0.11043615902486112</v>
      </c>
      <c r="BC5">
        <f t="shared" si="0"/>
        <v>5.0721402795138891E-2</v>
      </c>
      <c r="BD5">
        <f t="shared" si="1"/>
        <v>-7.0680652114861103E-2</v>
      </c>
      <c r="BE5">
        <f t="shared" si="1"/>
        <v>-1.6961965660861111E-2</v>
      </c>
      <c r="BF5">
        <f t="shared" si="1"/>
        <v>0.1213273098451389</v>
      </c>
      <c r="BG5">
        <f t="shared" si="1"/>
        <v>-1.7961555655861109E-2</v>
      </c>
      <c r="BH5">
        <f t="shared" si="1"/>
        <v>0.15244634144513888</v>
      </c>
      <c r="BI5">
        <f t="shared" si="1"/>
        <v>-9.8663547728611092E-3</v>
      </c>
      <c r="BJ5">
        <f t="shared" si="1"/>
        <v>8.2678146455138879E-2</v>
      </c>
      <c r="BK5">
        <f t="shared" si="1"/>
        <v>-1.0585234937861111E-2</v>
      </c>
      <c r="BL5">
        <f t="shared" si="1"/>
        <v>6.8527792351388908E-3</v>
      </c>
      <c r="BM5">
        <f t="shared" si="1"/>
        <v>1.2074943575138889E-2</v>
      </c>
      <c r="BN5">
        <f t="shared" si="1"/>
        <v>-8.0655162194861102E-2</v>
      </c>
      <c r="BO5">
        <f t="shared" si="1"/>
        <v>-4.9510140284861108E-2</v>
      </c>
      <c r="BP5">
        <f t="shared" si="1"/>
        <v>2.5447636675138892E-2</v>
      </c>
      <c r="BQ5">
        <f t="shared" si="1"/>
        <v>7.3128645251388895E-3</v>
      </c>
      <c r="BR5">
        <f t="shared" si="1"/>
        <v>-6.799392397486112E-2</v>
      </c>
      <c r="BS5">
        <f t="shared" si="1"/>
        <v>-4.3285007014861113E-2</v>
      </c>
      <c r="BT5">
        <f t="shared" si="2"/>
        <v>-0.12435838515486111</v>
      </c>
      <c r="BU5">
        <f t="shared" si="2"/>
        <v>0.1045164657451389</v>
      </c>
      <c r="BV5">
        <f t="shared" si="2"/>
        <v>1.9643772545138889E-2</v>
      </c>
      <c r="BW5" t="s">
        <v>78</v>
      </c>
      <c r="BX5">
        <v>0</v>
      </c>
      <c r="BY5">
        <f>SUMPRODUCT(AP$2:AP$31,$BX$2:$BX$31)</f>
        <v>2.0671911023874522E-2</v>
      </c>
      <c r="CA5">
        <v>73911827.879999995</v>
      </c>
      <c r="CB5">
        <f>IF(SUMIFS(BX2:BX31,BW2:BW31,"IT &amp; Tech")&gt;0,1,0)</f>
        <v>1</v>
      </c>
    </row>
    <row r="6" spans="1:82" ht="15" thickBot="1" x14ac:dyDescent="0.35">
      <c r="A6" s="10" t="s">
        <v>82</v>
      </c>
      <c r="B6" s="3">
        <v>-8.8379447829999999E-2</v>
      </c>
      <c r="C6" s="3">
        <v>-0.1120738555</v>
      </c>
      <c r="D6" s="3">
        <v>0.33489491710000002</v>
      </c>
      <c r="E6" s="3">
        <v>1.347602336E-2</v>
      </c>
      <c r="F6" s="3">
        <v>4.037639008E-3</v>
      </c>
      <c r="G6" s="3">
        <v>-2.6125481379999999E-2</v>
      </c>
      <c r="H6" s="3">
        <v>-5.9230693860000003E-2</v>
      </c>
      <c r="I6" s="3">
        <v>-2.168592238E-2</v>
      </c>
      <c r="J6" s="3">
        <v>-0.1047572697</v>
      </c>
      <c r="K6" s="3">
        <v>3.8342620280000003E-2</v>
      </c>
      <c r="L6" s="3">
        <v>-8.1044158310000003E-2</v>
      </c>
      <c r="M6" s="3">
        <v>0.1181021053</v>
      </c>
      <c r="N6" s="3">
        <v>0.1130157163</v>
      </c>
      <c r="O6" s="3">
        <v>2.442827815E-2</v>
      </c>
      <c r="P6" s="3">
        <v>1.9509538310000001E-2</v>
      </c>
      <c r="Q6" s="3">
        <v>-1.880744627E-2</v>
      </c>
      <c r="R6" s="3">
        <v>9.0429987439999998E-2</v>
      </c>
      <c r="S6" s="3">
        <v>-4.072592261E-2</v>
      </c>
      <c r="T6" s="3">
        <v>-4.9481825520000002E-2</v>
      </c>
      <c r="U6" s="3">
        <v>2.8903803759999999E-2</v>
      </c>
      <c r="V6" s="3">
        <v>-6.3436934939999995E-2</v>
      </c>
      <c r="W6" s="3">
        <v>-5.3556076879999998E-2</v>
      </c>
      <c r="X6" s="3">
        <v>0.1154518232</v>
      </c>
      <c r="Y6" s="3">
        <v>-4.4401504430000002E-2</v>
      </c>
      <c r="Z6" s="3">
        <v>-3.2620548710000002E-2</v>
      </c>
      <c r="AA6" s="3">
        <v>6.2387088100000002E-2</v>
      </c>
      <c r="AB6" s="3">
        <v>-4.3369802759999999E-2</v>
      </c>
      <c r="AC6" s="3">
        <v>5.7764490699999997E-2</v>
      </c>
      <c r="AD6" s="3">
        <v>6.9838822800000006E-2</v>
      </c>
      <c r="AE6" s="3">
        <v>-0.1055757497</v>
      </c>
      <c r="AF6" s="3">
        <v>-4.5553176819999999E-2</v>
      </c>
      <c r="AG6" s="3">
        <v>3.7576605479999997E-2</v>
      </c>
      <c r="AH6" s="3">
        <v>0.1556646636</v>
      </c>
      <c r="AI6" s="3">
        <v>8.1825214650000005E-2</v>
      </c>
      <c r="AJ6" s="3">
        <v>4.8685274840000001E-2</v>
      </c>
      <c r="AK6" s="3">
        <v>1.8601323560000001E-2</v>
      </c>
      <c r="AL6">
        <f t="shared" si="3"/>
        <v>1.2280836620500004E-2</v>
      </c>
      <c r="AM6">
        <f t="shared" si="4"/>
        <v>-0.1006602844505</v>
      </c>
      <c r="AN6">
        <f t="shared" si="0"/>
        <v>-0.1243546921205</v>
      </c>
      <c r="AO6">
        <f t="shared" si="0"/>
        <v>0.32261408047950002</v>
      </c>
      <c r="AP6">
        <f t="shared" si="0"/>
        <v>1.1951867394999968E-3</v>
      </c>
      <c r="AQ6">
        <f t="shared" si="0"/>
        <v>-8.2431976125000028E-3</v>
      </c>
      <c r="AR6">
        <f t="shared" si="0"/>
        <v>-3.8406318000500005E-2</v>
      </c>
      <c r="AS6">
        <f t="shared" si="0"/>
        <v>-7.1511530480500005E-2</v>
      </c>
      <c r="AT6">
        <f t="shared" si="0"/>
        <v>-3.3966759000500002E-2</v>
      </c>
      <c r="AU6">
        <f t="shared" si="0"/>
        <v>-0.1170381063205</v>
      </c>
      <c r="AV6">
        <f t="shared" si="0"/>
        <v>2.6061783659500001E-2</v>
      </c>
      <c r="AW6">
        <f t="shared" si="0"/>
        <v>-9.3324994930500005E-2</v>
      </c>
      <c r="AX6">
        <f t="shared" si="0"/>
        <v>0.10582126867949999</v>
      </c>
      <c r="AY6">
        <f t="shared" si="0"/>
        <v>0.1007348796795</v>
      </c>
      <c r="AZ6">
        <f t="shared" si="0"/>
        <v>1.2147441529499996E-2</v>
      </c>
      <c r="BA6">
        <f t="shared" si="0"/>
        <v>7.2287016894999976E-3</v>
      </c>
      <c r="BB6">
        <f t="shared" si="0"/>
        <v>-3.1088282890500002E-2</v>
      </c>
      <c r="BC6">
        <f t="shared" si="0"/>
        <v>7.8149150819499996E-2</v>
      </c>
      <c r="BD6">
        <f t="shared" si="1"/>
        <v>-5.3006759230500002E-2</v>
      </c>
      <c r="BE6">
        <f t="shared" si="1"/>
        <v>-6.1762662140500003E-2</v>
      </c>
      <c r="BF6">
        <f t="shared" si="1"/>
        <v>1.6622967139499997E-2</v>
      </c>
      <c r="BG6">
        <f t="shared" si="1"/>
        <v>-7.5717771560499997E-2</v>
      </c>
      <c r="BH6">
        <f t="shared" si="1"/>
        <v>-6.5836913500499999E-2</v>
      </c>
      <c r="BI6">
        <f t="shared" si="1"/>
        <v>0.1031709865795</v>
      </c>
      <c r="BJ6">
        <f t="shared" si="1"/>
        <v>-5.6682341050500004E-2</v>
      </c>
      <c r="BK6">
        <f t="shared" si="1"/>
        <v>-4.4901385330500004E-2</v>
      </c>
      <c r="BL6">
        <f t="shared" si="1"/>
        <v>5.01062514795E-2</v>
      </c>
      <c r="BM6">
        <f t="shared" si="1"/>
        <v>-5.5650639380500001E-2</v>
      </c>
      <c r="BN6">
        <f t="shared" si="1"/>
        <v>4.5483654079499995E-2</v>
      </c>
      <c r="BO6">
        <f t="shared" si="1"/>
        <v>5.7557986179500004E-2</v>
      </c>
      <c r="BP6">
        <f t="shared" si="1"/>
        <v>-0.1178565863205</v>
      </c>
      <c r="BQ6">
        <f t="shared" si="1"/>
        <v>-5.7834013440500001E-2</v>
      </c>
      <c r="BR6">
        <f t="shared" si="1"/>
        <v>2.5295768859499995E-2</v>
      </c>
      <c r="BS6">
        <f t="shared" si="1"/>
        <v>0.1433838269795</v>
      </c>
      <c r="BT6">
        <f t="shared" si="2"/>
        <v>6.9544378029500004E-2</v>
      </c>
      <c r="BU6">
        <f t="shared" si="2"/>
        <v>3.6404438219499999E-2</v>
      </c>
      <c r="BV6">
        <f t="shared" si="2"/>
        <v>6.3204869394999971E-3</v>
      </c>
      <c r="BW6" t="s">
        <v>78</v>
      </c>
      <c r="BX6">
        <v>6.6808867810119438E-2</v>
      </c>
      <c r="BY6">
        <f>SUMPRODUCT(AQ$2:AQ$31,$BX$2:$BX$31)</f>
        <v>-2.2837789442787824E-2</v>
      </c>
      <c r="CA6">
        <v>5420611.3109999998</v>
      </c>
      <c r="CB6">
        <f>IF(SUMIFS(BX2:BX31,BW2:BW31,"Healthcare and Pharma")&gt;0,1,0)</f>
        <v>1</v>
      </c>
    </row>
    <row r="7" spans="1:82" ht="15" thickBot="1" x14ac:dyDescent="0.35">
      <c r="A7" s="11" t="s">
        <v>83</v>
      </c>
      <c r="B7" s="3">
        <v>-2.3519343700000001E-2</v>
      </c>
      <c r="C7" s="3">
        <v>-5.8174675129999999E-2</v>
      </c>
      <c r="D7" s="3">
        <v>0.16030803790000001</v>
      </c>
      <c r="E7" s="3">
        <v>6.3300240590000001E-2</v>
      </c>
      <c r="F7" s="3">
        <v>-3.8907672300000001E-2</v>
      </c>
      <c r="G7" s="3">
        <v>9.492883044E-2</v>
      </c>
      <c r="H7" s="3">
        <v>2.557955613E-2</v>
      </c>
      <c r="I7" s="3">
        <v>5.2774899389999999E-3</v>
      </c>
      <c r="J7" s="3">
        <v>1.850608879E-2</v>
      </c>
      <c r="K7" s="3">
        <v>-7.1784974579999997E-3</v>
      </c>
      <c r="L7" s="3">
        <v>2.6100561840000001E-2</v>
      </c>
      <c r="M7" s="3">
        <v>9.2505313739999998E-2</v>
      </c>
      <c r="N7" s="3">
        <v>-6.7141769579999996E-2</v>
      </c>
      <c r="O7" s="3">
        <v>0.122367556</v>
      </c>
      <c r="P7" s="3">
        <v>8.3133041140000002E-2</v>
      </c>
      <c r="Q7" s="3">
        <v>7.9624069959999995E-3</v>
      </c>
      <c r="R7" s="3">
        <v>0.1187146187</v>
      </c>
      <c r="S7" s="3">
        <v>-3.1254650990000001E-2</v>
      </c>
      <c r="T7" s="3">
        <v>6.15045834E-2</v>
      </c>
      <c r="U7" s="3">
        <v>0.13405377590000001</v>
      </c>
      <c r="V7" s="3">
        <v>-1.311684628E-2</v>
      </c>
      <c r="W7" s="3">
        <v>-6.3222932680000003E-4</v>
      </c>
      <c r="X7" s="3">
        <v>8.2342453740000002E-2</v>
      </c>
      <c r="Y7" s="3">
        <v>-4.5059645580000002E-2</v>
      </c>
      <c r="Z7" s="3">
        <v>2.0866371759999999E-2</v>
      </c>
      <c r="AA7" s="3">
        <v>-3.293543728E-2</v>
      </c>
      <c r="AB7" s="3">
        <v>7.5117304740000002E-2</v>
      </c>
      <c r="AC7" s="3">
        <v>-2.8925294890000001E-2</v>
      </c>
      <c r="AD7" s="3">
        <v>-7.8549930489999996E-3</v>
      </c>
      <c r="AE7" s="3">
        <v>-1.44876277E-2</v>
      </c>
      <c r="AF7" s="3">
        <v>2.829693841E-2</v>
      </c>
      <c r="AG7" s="3">
        <v>-3.1451353090000002E-2</v>
      </c>
      <c r="AH7" s="3">
        <v>-1.115684726E-2</v>
      </c>
      <c r="AI7" s="3">
        <v>-0.1131216012</v>
      </c>
      <c r="AJ7" s="3">
        <v>0.1038133919</v>
      </c>
      <c r="AK7" s="3">
        <v>-6.3053002319999996E-2</v>
      </c>
      <c r="AL7">
        <f t="shared" si="3"/>
        <v>2.0464085414477782E-2</v>
      </c>
      <c r="AM7">
        <f t="shared" si="4"/>
        <v>-4.3983429114477779E-2</v>
      </c>
      <c r="AN7">
        <f t="shared" si="0"/>
        <v>-7.8638760544477784E-2</v>
      </c>
      <c r="AO7">
        <f t="shared" si="0"/>
        <v>0.13984395248552223</v>
      </c>
      <c r="AP7">
        <f t="shared" si="0"/>
        <v>4.2836155175522223E-2</v>
      </c>
      <c r="AQ7">
        <f t="shared" si="0"/>
        <v>-5.937175771447778E-2</v>
      </c>
      <c r="AR7">
        <f t="shared" si="0"/>
        <v>7.4464745025522222E-2</v>
      </c>
      <c r="AS7">
        <f t="shared" si="0"/>
        <v>5.1154707155222183E-3</v>
      </c>
      <c r="AT7">
        <f t="shared" si="0"/>
        <v>-1.5186595475477783E-2</v>
      </c>
      <c r="AU7">
        <f t="shared" si="0"/>
        <v>-1.957996624477782E-3</v>
      </c>
      <c r="AV7">
        <f t="shared" si="0"/>
        <v>-2.7642582872477783E-2</v>
      </c>
      <c r="AW7">
        <f t="shared" si="0"/>
        <v>5.6364764255222195E-3</v>
      </c>
      <c r="AX7">
        <f t="shared" si="0"/>
        <v>7.2041228325522219E-2</v>
      </c>
      <c r="AY7">
        <f t="shared" si="0"/>
        <v>-8.7605854994477775E-2</v>
      </c>
      <c r="AZ7">
        <f t="shared" si="0"/>
        <v>0.10190347058552222</v>
      </c>
      <c r="BA7">
        <f t="shared" si="0"/>
        <v>6.2668955725522224E-2</v>
      </c>
      <c r="BB7">
        <f t="shared" si="0"/>
        <v>-1.2501678418477782E-2</v>
      </c>
      <c r="BC7">
        <f t="shared" si="0"/>
        <v>9.8250533285522218E-2</v>
      </c>
      <c r="BD7">
        <f t="shared" si="1"/>
        <v>-5.1718736404477786E-2</v>
      </c>
      <c r="BE7">
        <f t="shared" si="1"/>
        <v>4.1040497985522215E-2</v>
      </c>
      <c r="BF7">
        <f t="shared" si="1"/>
        <v>0.11358969048552223</v>
      </c>
      <c r="BG7">
        <f t="shared" si="1"/>
        <v>-3.3580931694477782E-2</v>
      </c>
      <c r="BH7">
        <f t="shared" si="1"/>
        <v>-2.109631474127778E-2</v>
      </c>
      <c r="BI7">
        <f t="shared" si="1"/>
        <v>6.1878368325522223E-2</v>
      </c>
      <c r="BJ7">
        <f t="shared" si="1"/>
        <v>-6.552373099447778E-2</v>
      </c>
      <c r="BK7">
        <f t="shared" si="1"/>
        <v>4.022863455222167E-4</v>
      </c>
      <c r="BL7">
        <f t="shared" si="1"/>
        <v>-5.3399522694477786E-2</v>
      </c>
      <c r="BM7">
        <f t="shared" si="1"/>
        <v>5.4653219325522223E-2</v>
      </c>
      <c r="BN7">
        <f t="shared" si="1"/>
        <v>-4.9389380304477787E-2</v>
      </c>
      <c r="BO7">
        <f t="shared" si="1"/>
        <v>-2.8319078463477781E-2</v>
      </c>
      <c r="BP7">
        <f t="shared" si="1"/>
        <v>-3.4951713114477784E-2</v>
      </c>
      <c r="BQ7">
        <f t="shared" si="1"/>
        <v>7.832852995522218E-3</v>
      </c>
      <c r="BR7">
        <f t="shared" si="1"/>
        <v>-5.1915438504477787E-2</v>
      </c>
      <c r="BS7">
        <f t="shared" si="1"/>
        <v>-3.1620932674477784E-2</v>
      </c>
      <c r="BT7">
        <f t="shared" si="2"/>
        <v>-0.13358568661447778</v>
      </c>
      <c r="BU7">
        <f t="shared" si="2"/>
        <v>8.3349306485522218E-2</v>
      </c>
      <c r="BV7">
        <f t="shared" si="2"/>
        <v>-8.3517087734477774E-2</v>
      </c>
      <c r="BW7" t="s">
        <v>84</v>
      </c>
      <c r="BX7">
        <v>0</v>
      </c>
      <c r="BY7">
        <f>SUMPRODUCT(AR$2:AR$31,$BX$2:$BX$31)</f>
        <v>3.5130113569071961E-2</v>
      </c>
      <c r="CA7">
        <v>10215133.48</v>
      </c>
      <c r="CB7">
        <f>IF(SUMIFS(BX3:BX32,BW3:BW32,"Consumer Goods &amp; FMCG")&gt;0,1,0)</f>
        <v>1</v>
      </c>
    </row>
    <row r="8" spans="1:82" ht="15" thickBot="1" x14ac:dyDescent="0.35">
      <c r="A8" s="11" t="s">
        <v>85</v>
      </c>
      <c r="B8" s="3">
        <v>7.1587381950000001E-2</v>
      </c>
      <c r="C8" s="3">
        <v>-1.3763635240000001E-2</v>
      </c>
      <c r="D8" s="3">
        <v>0.1223728884</v>
      </c>
      <c r="E8" s="3">
        <v>7.0299161159999998E-2</v>
      </c>
      <c r="F8" s="3">
        <v>-3.9117769449999999E-2</v>
      </c>
      <c r="G8" s="3">
        <v>5.5868341270000003E-2</v>
      </c>
      <c r="H8" s="3">
        <v>-5.149371069E-2</v>
      </c>
      <c r="I8" s="3">
        <v>1.8540874610000001E-2</v>
      </c>
      <c r="J8" s="3">
        <v>3.5398386640000001E-2</v>
      </c>
      <c r="K8" s="3">
        <v>0.10939875960000001</v>
      </c>
      <c r="L8" s="3">
        <v>2.4810571060000002E-2</v>
      </c>
      <c r="M8" s="3">
        <v>3.6803270069999998E-2</v>
      </c>
      <c r="N8" s="3">
        <v>2.958314007E-2</v>
      </c>
      <c r="O8" s="3">
        <v>6.0478932329999999E-2</v>
      </c>
      <c r="P8" s="3">
        <v>5.7494457649999997E-2</v>
      </c>
      <c r="Q8" s="3">
        <v>-1.528998243E-2</v>
      </c>
      <c r="R8" s="3">
        <v>-6.3639376859999999E-2</v>
      </c>
      <c r="S8" s="3">
        <v>-9.3002042209999997E-2</v>
      </c>
      <c r="T8" s="3">
        <v>9.8065116559999999E-2</v>
      </c>
      <c r="U8" s="3">
        <v>0.1003663605</v>
      </c>
      <c r="V8" s="3">
        <v>2.8747484279999999E-2</v>
      </c>
      <c r="W8" s="3">
        <v>0.13014443049999999</v>
      </c>
      <c r="X8" s="3">
        <v>0.14848533420000001</v>
      </c>
      <c r="Y8" s="3">
        <v>8.7020031449999993E-2</v>
      </c>
      <c r="Z8" s="3">
        <v>0.19279490560000001</v>
      </c>
      <c r="AA8" s="3">
        <v>0.1057054083</v>
      </c>
      <c r="AB8" s="3">
        <v>-7.4190408200000002E-2</v>
      </c>
      <c r="AC8" s="3">
        <v>-3.3618864700000001E-2</v>
      </c>
      <c r="AD8" s="3">
        <v>5.1776414100000001E-2</v>
      </c>
      <c r="AE8" s="3">
        <v>-3.7751724139999998E-2</v>
      </c>
      <c r="AF8" s="3">
        <v>8.3790834679999995E-2</v>
      </c>
      <c r="AG8" s="3">
        <v>-0.13554031620000001</v>
      </c>
      <c r="AH8" s="3">
        <v>-7.0791992109999993E-2</v>
      </c>
      <c r="AI8" s="3">
        <v>-0.23872327460000001</v>
      </c>
      <c r="AJ8" s="3">
        <v>0.14098626580000001</v>
      </c>
      <c r="AK8" s="3">
        <v>-0.46287924019999999</v>
      </c>
      <c r="AL8">
        <f t="shared" si="3"/>
        <v>1.4742122604166666E-2</v>
      </c>
      <c r="AM8">
        <f t="shared" si="4"/>
        <v>5.6845259345833336E-2</v>
      </c>
      <c r="AN8">
        <f t="shared" si="0"/>
        <v>-2.8505757844166667E-2</v>
      </c>
      <c r="AO8">
        <f t="shared" si="0"/>
        <v>0.10763076579583333</v>
      </c>
      <c r="AP8">
        <f t="shared" si="0"/>
        <v>5.5557038555833334E-2</v>
      </c>
      <c r="AQ8">
        <f t="shared" si="0"/>
        <v>-5.3859892054166664E-2</v>
      </c>
      <c r="AR8">
        <f t="shared" si="0"/>
        <v>4.1126218665833339E-2</v>
      </c>
      <c r="AS8">
        <f t="shared" si="0"/>
        <v>-6.6235833294166671E-2</v>
      </c>
      <c r="AT8">
        <f t="shared" si="0"/>
        <v>3.7987520058333345E-3</v>
      </c>
      <c r="AU8">
        <f t="shared" si="0"/>
        <v>2.0656264035833337E-2</v>
      </c>
      <c r="AV8">
        <f t="shared" si="0"/>
        <v>9.4656636995833335E-2</v>
      </c>
      <c r="AW8">
        <f t="shared" si="0"/>
        <v>1.0068448455833335E-2</v>
      </c>
      <c r="AX8">
        <f t="shared" si="0"/>
        <v>2.2061147465833333E-2</v>
      </c>
      <c r="AY8">
        <f t="shared" si="0"/>
        <v>1.4841017465833333E-2</v>
      </c>
      <c r="AZ8">
        <f t="shared" si="0"/>
        <v>4.5736809725833334E-2</v>
      </c>
      <c r="BA8">
        <f t="shared" si="0"/>
        <v>4.2752335045833333E-2</v>
      </c>
      <c r="BB8">
        <f t="shared" si="0"/>
        <v>-3.0032105034166666E-2</v>
      </c>
      <c r="BC8">
        <f t="shared" si="0"/>
        <v>-7.8381499464166671E-2</v>
      </c>
      <c r="BD8">
        <f t="shared" si="1"/>
        <v>-0.10774416481416667</v>
      </c>
      <c r="BE8">
        <f t="shared" si="1"/>
        <v>8.3322993955833327E-2</v>
      </c>
      <c r="BF8">
        <f t="shared" si="1"/>
        <v>8.562423789583333E-2</v>
      </c>
      <c r="BG8">
        <f t="shared" si="1"/>
        <v>1.4005361675833333E-2</v>
      </c>
      <c r="BH8">
        <f t="shared" si="1"/>
        <v>0.11540230789583332</v>
      </c>
      <c r="BI8">
        <f t="shared" si="1"/>
        <v>0.13374321159583336</v>
      </c>
      <c r="BJ8">
        <f t="shared" si="1"/>
        <v>7.2277908845833322E-2</v>
      </c>
      <c r="BK8">
        <f t="shared" si="1"/>
        <v>0.17805278299583335</v>
      </c>
      <c r="BL8">
        <f t="shared" si="1"/>
        <v>9.0963285695833326E-2</v>
      </c>
      <c r="BM8">
        <f t="shared" si="1"/>
        <v>-8.8932530804166673E-2</v>
      </c>
      <c r="BN8">
        <f t="shared" si="1"/>
        <v>-4.8360987304166665E-2</v>
      </c>
      <c r="BO8">
        <f t="shared" si="1"/>
        <v>3.7034291495833337E-2</v>
      </c>
      <c r="BP8">
        <f t="shared" si="1"/>
        <v>-5.2493846744166663E-2</v>
      </c>
      <c r="BQ8">
        <f t="shared" si="1"/>
        <v>6.9048712075833324E-2</v>
      </c>
      <c r="BR8">
        <f t="shared" si="1"/>
        <v>-0.15028243880416667</v>
      </c>
      <c r="BS8">
        <f t="shared" si="1"/>
        <v>-8.5534114714166665E-2</v>
      </c>
      <c r="BT8">
        <f t="shared" si="2"/>
        <v>-0.25346539720416666</v>
      </c>
      <c r="BU8">
        <f t="shared" si="2"/>
        <v>0.12624414319583335</v>
      </c>
      <c r="BV8">
        <f t="shared" si="2"/>
        <v>-0.47762136280416667</v>
      </c>
      <c r="BW8" t="s">
        <v>84</v>
      </c>
      <c r="BX8">
        <v>5.4089695884937256E-3</v>
      </c>
      <c r="BY8">
        <f>SUMPRODUCT(AS$2:AS$31,$BX$2:$BX$31)</f>
        <v>1.9338545328609749E-2</v>
      </c>
      <c r="CA8">
        <v>1843874.27</v>
      </c>
      <c r="CB8" s="5">
        <f>SUM(CB2:CB7)</f>
        <v>6</v>
      </c>
      <c r="CD8" s="2" t="s">
        <v>115</v>
      </c>
    </row>
    <row r="9" spans="1:82" ht="15" thickBot="1" x14ac:dyDescent="0.35">
      <c r="A9" s="11" t="s">
        <v>86</v>
      </c>
      <c r="B9" s="3">
        <v>-0.13609294720000001</v>
      </c>
      <c r="C9" s="3">
        <v>-9.1640197340000007E-2</v>
      </c>
      <c r="D9" s="3">
        <v>0.1363737817</v>
      </c>
      <c r="E9" s="3">
        <v>0.1027235826</v>
      </c>
      <c r="F9" s="3">
        <v>-2.5529893719999999E-2</v>
      </c>
      <c r="G9" s="3">
        <v>3.533784195E-3</v>
      </c>
      <c r="H9" s="3">
        <v>6.9758970310000001E-2</v>
      </c>
      <c r="I9" s="3">
        <v>-7.1396140750000003E-2</v>
      </c>
      <c r="J9" s="3">
        <v>-0.2511306686</v>
      </c>
      <c r="K9" s="3">
        <v>-3.297151718E-2</v>
      </c>
      <c r="L9" s="3">
        <v>6.6587897709999996E-2</v>
      </c>
      <c r="M9" s="3">
        <v>7.8176926729999999E-2</v>
      </c>
      <c r="N9" s="3">
        <v>8.4470864519999994E-2</v>
      </c>
      <c r="O9" s="3">
        <v>5.4138187719999999E-4</v>
      </c>
      <c r="P9" s="3">
        <v>5.2215082849999997E-2</v>
      </c>
      <c r="Q9" s="3">
        <v>1.8448286939999999E-2</v>
      </c>
      <c r="R9" s="3">
        <v>4.159303206E-2</v>
      </c>
      <c r="S9" s="3">
        <v>-4.8960795010000002E-2</v>
      </c>
      <c r="T9" s="3">
        <v>5.1927365400000002E-2</v>
      </c>
      <c r="U9" s="3">
        <v>0.2408843125</v>
      </c>
      <c r="V9" s="3">
        <v>0.1789427442</v>
      </c>
      <c r="W9" s="3">
        <v>9.3445948740000007E-2</v>
      </c>
      <c r="X9" s="3">
        <v>1.616811814E-2</v>
      </c>
      <c r="Y9" s="3">
        <v>-1.263181429E-2</v>
      </c>
      <c r="Z9" s="3">
        <v>8.4912068839999993E-2</v>
      </c>
      <c r="AA9" s="3">
        <v>2.8315013220000001E-2</v>
      </c>
      <c r="AB9" s="3">
        <v>6.2106758679999999E-2</v>
      </c>
      <c r="AC9" s="3">
        <v>-5.6054525770000002E-2</v>
      </c>
      <c r="AD9" s="3">
        <v>-2.2741075650000001E-2</v>
      </c>
      <c r="AE9" s="3">
        <v>-4.9889518020000002E-2</v>
      </c>
      <c r="AF9" s="3">
        <v>-0.13510665359999999</v>
      </c>
      <c r="AG9" s="3">
        <v>3.4494348979999999E-2</v>
      </c>
      <c r="AH9" s="3">
        <v>-0.1070181139</v>
      </c>
      <c r="AI9" s="3">
        <v>-2.7243371079999999E-2</v>
      </c>
      <c r="AJ9" s="3">
        <v>0.1061810361</v>
      </c>
      <c r="AK9" s="3">
        <v>8.4957098779999997E-3</v>
      </c>
      <c r="AL9">
        <f t="shared" si="3"/>
        <v>1.3663605112783334E-2</v>
      </c>
      <c r="AM9">
        <f t="shared" si="4"/>
        <v>-0.14975655231278334</v>
      </c>
      <c r="AN9">
        <f t="shared" si="0"/>
        <v>-0.10530380245278334</v>
      </c>
      <c r="AO9">
        <f t="shared" si="0"/>
        <v>0.12271017658721667</v>
      </c>
      <c r="AP9">
        <f t="shared" si="0"/>
        <v>8.9059977487216668E-2</v>
      </c>
      <c r="AQ9">
        <f t="shared" si="0"/>
        <v>-3.9193498832783336E-2</v>
      </c>
      <c r="AR9">
        <f t="shared" si="0"/>
        <v>-1.0129820917783333E-2</v>
      </c>
      <c r="AS9">
        <f t="shared" si="0"/>
        <v>5.6095365197216668E-2</v>
      </c>
      <c r="AT9">
        <f t="shared" si="0"/>
        <v>-8.5059745862783337E-2</v>
      </c>
      <c r="AU9">
        <f t="shared" si="0"/>
        <v>-0.2647942737127833</v>
      </c>
      <c r="AV9">
        <f t="shared" si="0"/>
        <v>-4.6635122292783333E-2</v>
      </c>
      <c r="AW9">
        <f t="shared" si="0"/>
        <v>5.2924292597216663E-2</v>
      </c>
      <c r="AX9">
        <f t="shared" si="0"/>
        <v>6.4513321617216665E-2</v>
      </c>
      <c r="AY9">
        <f t="shared" si="0"/>
        <v>7.0807259407216661E-2</v>
      </c>
      <c r="AZ9">
        <f t="shared" si="0"/>
        <v>-1.3122223235583333E-2</v>
      </c>
      <c r="BA9">
        <f t="shared" si="0"/>
        <v>3.8551477737216663E-2</v>
      </c>
      <c r="BB9">
        <f t="shared" si="0"/>
        <v>4.7846818272166657E-3</v>
      </c>
      <c r="BC9">
        <f t="shared" si="0"/>
        <v>2.7929426947216666E-2</v>
      </c>
      <c r="BD9">
        <f t="shared" si="1"/>
        <v>-6.2624400122783336E-2</v>
      </c>
      <c r="BE9">
        <f t="shared" si="1"/>
        <v>3.8263760287216668E-2</v>
      </c>
      <c r="BF9">
        <f t="shared" si="1"/>
        <v>0.22722070738721667</v>
      </c>
      <c r="BG9">
        <f t="shared" si="1"/>
        <v>0.16527913908721667</v>
      </c>
      <c r="BH9">
        <f t="shared" si="1"/>
        <v>7.9782343627216673E-2</v>
      </c>
      <c r="BI9">
        <f t="shared" si="1"/>
        <v>2.5045130272166663E-3</v>
      </c>
      <c r="BJ9">
        <f t="shared" si="1"/>
        <v>-2.6295419402783335E-2</v>
      </c>
      <c r="BK9">
        <f t="shared" si="1"/>
        <v>7.124846372721666E-2</v>
      </c>
      <c r="BL9">
        <f t="shared" si="1"/>
        <v>1.4651408107216667E-2</v>
      </c>
      <c r="BM9">
        <f t="shared" si="1"/>
        <v>4.8443153567216665E-2</v>
      </c>
      <c r="BN9">
        <f t="shared" si="1"/>
        <v>-6.9718130882783336E-2</v>
      </c>
      <c r="BO9">
        <f t="shared" si="1"/>
        <v>-3.6404680762783331E-2</v>
      </c>
      <c r="BP9">
        <f t="shared" si="1"/>
        <v>-6.3553123132783329E-2</v>
      </c>
      <c r="BQ9">
        <f t="shared" si="1"/>
        <v>-0.14877025871278332</v>
      </c>
      <c r="BR9">
        <f t="shared" si="1"/>
        <v>2.0830743867216665E-2</v>
      </c>
      <c r="BS9">
        <f t="shared" si="1"/>
        <v>-0.12068171901278334</v>
      </c>
      <c r="BT9">
        <f t="shared" si="2"/>
        <v>-4.0906976192783329E-2</v>
      </c>
      <c r="BU9">
        <f t="shared" si="2"/>
        <v>9.2517430987216667E-2</v>
      </c>
      <c r="BV9">
        <f t="shared" si="2"/>
        <v>-5.1678952347833339E-3</v>
      </c>
      <c r="BW9" t="s">
        <v>84</v>
      </c>
      <c r="BX9">
        <v>0</v>
      </c>
      <c r="BY9">
        <f>SUMPRODUCT(AT$2:AT$31,$BX$2:$BX$31)</f>
        <v>-2.6094223319938121E-2</v>
      </c>
      <c r="CA9">
        <v>30599140.82</v>
      </c>
    </row>
    <row r="10" spans="1:82" ht="15" thickBot="1" x14ac:dyDescent="0.35">
      <c r="A10" s="11" t="s">
        <v>87</v>
      </c>
      <c r="B10" s="3">
        <v>0.15773532709999999</v>
      </c>
      <c r="C10" s="3">
        <v>-5.2054794520000003E-2</v>
      </c>
      <c r="D10" s="3">
        <v>0.1891651093</v>
      </c>
      <c r="E10" s="3">
        <v>0.1924602087</v>
      </c>
      <c r="F10" s="3">
        <v>-5.3436518269999997E-2</v>
      </c>
      <c r="G10" s="3">
        <v>-1.2514570649999999E-2</v>
      </c>
      <c r="H10" s="3">
        <v>-1.6083285520000001E-2</v>
      </c>
      <c r="I10" s="3">
        <v>-0.1058752958</v>
      </c>
      <c r="J10" s="3">
        <v>5.833022736E-2</v>
      </c>
      <c r="K10" s="3">
        <v>0.13306920229999999</v>
      </c>
      <c r="L10" s="3">
        <v>4.5938427589999997E-2</v>
      </c>
      <c r="M10" s="3">
        <v>1.5690236690000001E-2</v>
      </c>
      <c r="N10" s="3">
        <v>0.2071270791</v>
      </c>
      <c r="O10" s="3">
        <v>7.2008531469999998E-2</v>
      </c>
      <c r="P10" s="3">
        <v>2.9346597330000002E-2</v>
      </c>
      <c r="Q10" s="3">
        <v>-3.761421543E-2</v>
      </c>
      <c r="R10" s="3">
        <v>-6.4657484220000006E-2</v>
      </c>
      <c r="S10" s="3">
        <v>2.6962727989999998E-3</v>
      </c>
      <c r="T10" s="3">
        <v>7.5548146890000001E-2</v>
      </c>
      <c r="U10" s="3">
        <v>5.7718196729999997E-2</v>
      </c>
      <c r="V10" s="3">
        <v>-6.9520947199999998E-4</v>
      </c>
      <c r="W10" s="3">
        <v>0.16554285469999999</v>
      </c>
      <c r="X10" s="3">
        <v>0.16821091099999999</v>
      </c>
      <c r="Y10" s="3">
        <v>2.8282383639999999E-2</v>
      </c>
      <c r="Z10" s="3">
        <v>0.2717119596</v>
      </c>
      <c r="AA10" s="3">
        <v>2.079238274E-2</v>
      </c>
      <c r="AB10" s="3">
        <v>-6.9963137009999996E-2</v>
      </c>
      <c r="AC10" s="3">
        <v>4.9640046349999998E-3</v>
      </c>
      <c r="AD10" s="3">
        <v>1.4988564839999999E-2</v>
      </c>
      <c r="AE10" s="3">
        <v>-7.7659838610000004E-2</v>
      </c>
      <c r="AF10" s="3">
        <v>-1.103715618E-3</v>
      </c>
      <c r="AG10" s="3">
        <v>-6.8586828360000004E-2</v>
      </c>
      <c r="AH10" s="3">
        <v>-0.1501103114</v>
      </c>
      <c r="AI10" s="3">
        <v>-0.15988186530000001</v>
      </c>
      <c r="AJ10" s="3">
        <v>0.1237690967</v>
      </c>
      <c r="AK10" s="3">
        <v>-8.5192697770000003E-3</v>
      </c>
      <c r="AL10">
        <f t="shared" si="3"/>
        <v>3.2120538368249997E-2</v>
      </c>
      <c r="AM10">
        <f t="shared" si="4"/>
        <v>0.12561478873175</v>
      </c>
      <c r="AN10">
        <f t="shared" si="0"/>
        <v>-8.4175332888249993E-2</v>
      </c>
      <c r="AO10">
        <f t="shared" si="0"/>
        <v>0.15704457093175</v>
      </c>
      <c r="AP10">
        <f t="shared" si="0"/>
        <v>0.16033967033175001</v>
      </c>
      <c r="AQ10">
        <f t="shared" si="0"/>
        <v>-8.5557056638250001E-2</v>
      </c>
      <c r="AR10">
        <f t="shared" si="0"/>
        <v>-4.4635109018249998E-2</v>
      </c>
      <c r="AS10">
        <f t="shared" si="0"/>
        <v>-4.8203823888249994E-2</v>
      </c>
      <c r="AT10">
        <f t="shared" si="0"/>
        <v>-0.13799583416825001</v>
      </c>
      <c r="AU10">
        <f t="shared" si="0"/>
        <v>2.6209688991750003E-2</v>
      </c>
      <c r="AV10">
        <f t="shared" si="0"/>
        <v>0.10094866393175</v>
      </c>
      <c r="AW10">
        <f t="shared" si="0"/>
        <v>1.381788922175E-2</v>
      </c>
      <c r="AX10">
        <f t="shared" si="0"/>
        <v>-1.6430301678249996E-2</v>
      </c>
      <c r="AY10">
        <f t="shared" si="0"/>
        <v>0.17500654073175001</v>
      </c>
      <c r="AZ10">
        <f t="shared" si="0"/>
        <v>3.9887993101750001E-2</v>
      </c>
      <c r="BA10">
        <f t="shared" si="0"/>
        <v>-2.7739410382499954E-3</v>
      </c>
      <c r="BB10">
        <f t="shared" si="0"/>
        <v>-6.9734753798250004E-2</v>
      </c>
      <c r="BC10">
        <f t="shared" si="0"/>
        <v>-9.6778022588249996E-2</v>
      </c>
      <c r="BD10">
        <f t="shared" si="1"/>
        <v>-2.9424265569249996E-2</v>
      </c>
      <c r="BE10">
        <f t="shared" si="1"/>
        <v>4.3427608521750004E-2</v>
      </c>
      <c r="BF10">
        <f t="shared" si="1"/>
        <v>2.559765836175E-2</v>
      </c>
      <c r="BG10">
        <f t="shared" si="1"/>
        <v>-3.2815747840249994E-2</v>
      </c>
      <c r="BH10">
        <f t="shared" si="1"/>
        <v>0.13342231633175</v>
      </c>
      <c r="BI10">
        <f t="shared" si="1"/>
        <v>0.13609037263175</v>
      </c>
      <c r="BJ10">
        <f t="shared" si="1"/>
        <v>-3.8381547282499984E-3</v>
      </c>
      <c r="BK10">
        <f t="shared" si="1"/>
        <v>0.23959142123175001</v>
      </c>
      <c r="BL10">
        <f t="shared" si="1"/>
        <v>-1.1328155628249997E-2</v>
      </c>
      <c r="BM10">
        <f t="shared" si="1"/>
        <v>-0.10208367537825</v>
      </c>
      <c r="BN10">
        <f t="shared" si="1"/>
        <v>-2.7156533733249999E-2</v>
      </c>
      <c r="BO10">
        <f t="shared" si="1"/>
        <v>-1.7131973528249998E-2</v>
      </c>
      <c r="BP10">
        <f t="shared" si="1"/>
        <v>-0.10978037697824999</v>
      </c>
      <c r="BQ10">
        <f t="shared" si="1"/>
        <v>-3.3224253986249994E-2</v>
      </c>
      <c r="BR10">
        <f t="shared" si="1"/>
        <v>-0.10070736672825001</v>
      </c>
      <c r="BS10">
        <f t="shared" si="1"/>
        <v>-0.18223084976824999</v>
      </c>
      <c r="BT10">
        <f t="shared" si="2"/>
        <v>-0.19200240366825</v>
      </c>
      <c r="BU10">
        <f t="shared" si="2"/>
        <v>9.1648558331750007E-2</v>
      </c>
      <c r="BV10">
        <f t="shared" si="2"/>
        <v>-4.0639808145249999E-2</v>
      </c>
      <c r="BW10" t="s">
        <v>84</v>
      </c>
      <c r="BX10">
        <v>0</v>
      </c>
      <c r="BY10">
        <f>SUMPRODUCT(AU$2:AU$31,$BX$2:$BX$31)</f>
        <v>-2.6658045279079938E-2</v>
      </c>
      <c r="CA10">
        <v>1729890.041</v>
      </c>
    </row>
    <row r="11" spans="1:82" ht="15" thickBot="1" x14ac:dyDescent="0.35">
      <c r="A11" s="11" t="s">
        <v>88</v>
      </c>
      <c r="B11" s="3">
        <v>-1.5933699709999999E-2</v>
      </c>
      <c r="C11" s="3">
        <v>-2.7731629390000002E-3</v>
      </c>
      <c r="D11" s="3">
        <v>0.1755667474</v>
      </c>
      <c r="E11" s="3">
        <v>0.1137431459</v>
      </c>
      <c r="F11" s="3">
        <v>-1.1911869780000001E-2</v>
      </c>
      <c r="G11" s="3">
        <v>5.8444774640000002E-2</v>
      </c>
      <c r="H11" s="3">
        <v>-1.6378100140000001E-2</v>
      </c>
      <c r="I11" s="3">
        <v>-4.947668887E-2</v>
      </c>
      <c r="J11" s="3">
        <v>-4.9549549550000002E-2</v>
      </c>
      <c r="K11" s="3">
        <v>-3.6861506060000002E-3</v>
      </c>
      <c r="L11" s="3">
        <v>3.1183932349999999E-2</v>
      </c>
      <c r="M11" s="3">
        <v>5.894413121E-2</v>
      </c>
      <c r="N11" s="3">
        <v>8.5672797679999996E-2</v>
      </c>
      <c r="O11" s="3">
        <v>0.1212661614</v>
      </c>
      <c r="P11" s="3">
        <v>3.9363817099999997E-2</v>
      </c>
      <c r="Q11" s="3">
        <v>1.9127773529999999E-2</v>
      </c>
      <c r="R11" s="3">
        <v>3.828828829E-2</v>
      </c>
      <c r="S11" s="3">
        <v>-3.6514822850000003E-2</v>
      </c>
      <c r="T11" s="3">
        <v>9.4934333960000006E-2</v>
      </c>
      <c r="U11" s="3">
        <v>0.26250856750000001</v>
      </c>
      <c r="V11" s="3">
        <v>9.2290988059999992E-3</v>
      </c>
      <c r="W11" s="3">
        <v>0.1032813341</v>
      </c>
      <c r="X11" s="3">
        <v>-1.7552413459999999E-2</v>
      </c>
      <c r="Y11" s="3">
        <v>0.16004962780000001</v>
      </c>
      <c r="Z11" s="3">
        <v>0.26609625669999998</v>
      </c>
      <c r="AA11" s="3">
        <v>3.3620544010000003E-2</v>
      </c>
      <c r="AB11" s="3">
        <v>3.3180778029999997E-2</v>
      </c>
      <c r="AC11" s="3">
        <v>-5.2997943360000001E-2</v>
      </c>
      <c r="AD11" s="3">
        <v>-4.7444036080000002E-2</v>
      </c>
      <c r="AE11" s="3">
        <v>-7.0150824269999996E-4</v>
      </c>
      <c r="AF11" s="3">
        <v>8.1081081080000006E-2</v>
      </c>
      <c r="AG11" s="3">
        <v>-4.8214285709999999E-2</v>
      </c>
      <c r="AH11" s="3">
        <v>-1.705611462E-3</v>
      </c>
      <c r="AI11" s="3">
        <v>-0.15855117029999999</v>
      </c>
      <c r="AJ11" s="3">
        <v>0.22363451779999999</v>
      </c>
      <c r="AK11" s="3">
        <v>-1.2345679010000001E-2</v>
      </c>
      <c r="AL11">
        <f t="shared" si="3"/>
        <v>4.1207806033786105E-2</v>
      </c>
      <c r="AM11">
        <f t="shared" si="4"/>
        <v>-5.7141505743786104E-2</v>
      </c>
      <c r="AN11">
        <f t="shared" si="0"/>
        <v>-4.3980968972786104E-2</v>
      </c>
      <c r="AO11">
        <f t="shared" si="0"/>
        <v>0.1343589413662139</v>
      </c>
      <c r="AP11">
        <f t="shared" si="0"/>
        <v>7.2535339866213883E-2</v>
      </c>
      <c r="AQ11">
        <f t="shared" si="0"/>
        <v>-5.3119675813786106E-2</v>
      </c>
      <c r="AR11">
        <f t="shared" si="0"/>
        <v>1.7236968606213897E-2</v>
      </c>
      <c r="AS11">
        <f t="shared" si="0"/>
        <v>-5.7585906173786103E-2</v>
      </c>
      <c r="AT11">
        <f t="shared" si="0"/>
        <v>-9.0684494903786106E-2</v>
      </c>
      <c r="AU11">
        <f t="shared" si="0"/>
        <v>-9.0757355583786115E-2</v>
      </c>
      <c r="AV11">
        <f t="shared" si="0"/>
        <v>-4.4893956639786105E-2</v>
      </c>
      <c r="AW11">
        <f t="shared" si="0"/>
        <v>-1.0023873683786107E-2</v>
      </c>
      <c r="AX11">
        <f t="shared" si="0"/>
        <v>1.7736325176213895E-2</v>
      </c>
      <c r="AY11">
        <f t="shared" si="0"/>
        <v>4.446499164621389E-2</v>
      </c>
      <c r="AZ11">
        <f t="shared" si="0"/>
        <v>8.005835536621389E-2</v>
      </c>
      <c r="BA11">
        <f t="shared" si="0"/>
        <v>-1.8439889337861087E-3</v>
      </c>
      <c r="BB11">
        <f t="shared" si="0"/>
        <v>-2.2080032503786106E-2</v>
      </c>
      <c r="BC11">
        <f t="shared" si="0"/>
        <v>-2.9195177437861056E-3</v>
      </c>
      <c r="BD11">
        <f t="shared" si="1"/>
        <v>-7.7722628883786116E-2</v>
      </c>
      <c r="BE11">
        <f t="shared" si="1"/>
        <v>5.37265279262139E-2</v>
      </c>
      <c r="BF11">
        <f t="shared" si="1"/>
        <v>0.22130076146621391</v>
      </c>
      <c r="BG11">
        <f t="shared" si="1"/>
        <v>-3.1978707227786105E-2</v>
      </c>
      <c r="BH11">
        <f t="shared" si="1"/>
        <v>6.2073528066213891E-2</v>
      </c>
      <c r="BI11">
        <f t="shared" si="1"/>
        <v>-5.8760219493786105E-2</v>
      </c>
      <c r="BJ11">
        <f t="shared" si="1"/>
        <v>0.11884182176621391</v>
      </c>
      <c r="BK11">
        <f t="shared" si="1"/>
        <v>0.22488845066621388</v>
      </c>
      <c r="BL11">
        <f t="shared" si="1"/>
        <v>-7.5872620237861024E-3</v>
      </c>
      <c r="BM11">
        <f t="shared" si="1"/>
        <v>-8.0270280037861089E-3</v>
      </c>
      <c r="BN11">
        <f t="shared" si="1"/>
        <v>-9.4205749393786106E-2</v>
      </c>
      <c r="BO11">
        <f t="shared" si="1"/>
        <v>-8.86518421137861E-2</v>
      </c>
      <c r="BP11">
        <f t="shared" si="1"/>
        <v>-4.1909314276486108E-2</v>
      </c>
      <c r="BQ11">
        <f t="shared" si="1"/>
        <v>3.98732750462139E-2</v>
      </c>
      <c r="BR11">
        <f t="shared" si="1"/>
        <v>-8.9422091743786097E-2</v>
      </c>
      <c r="BS11">
        <f t="shared" si="1"/>
        <v>-4.2913417495786102E-2</v>
      </c>
      <c r="BT11">
        <f t="shared" si="2"/>
        <v>-0.19975897633378609</v>
      </c>
      <c r="BU11">
        <f t="shared" si="2"/>
        <v>0.18242671176621389</v>
      </c>
      <c r="BV11">
        <f t="shared" si="2"/>
        <v>-5.3553485043786105E-2</v>
      </c>
      <c r="BW11" t="s">
        <v>84</v>
      </c>
      <c r="BX11">
        <v>0</v>
      </c>
      <c r="BY11">
        <f>SUMPRODUCT(AV$2:AV$31,$BX$2:$BX$31)</f>
        <v>-3.0138384832244715E-2</v>
      </c>
      <c r="CA11">
        <v>93645515.450000003</v>
      </c>
    </row>
    <row r="12" spans="1:82" ht="15" thickBot="1" x14ac:dyDescent="0.35">
      <c r="A12" s="12" t="s">
        <v>89</v>
      </c>
      <c r="B12" s="3">
        <v>-5.6482099869999997E-2</v>
      </c>
      <c r="C12" s="3">
        <v>-1.405469115E-2</v>
      </c>
      <c r="D12" s="3">
        <v>-3.3209170779999998E-2</v>
      </c>
      <c r="E12" s="3">
        <v>5.1205799789999999E-2</v>
      </c>
      <c r="F12" s="3">
        <v>-9.8637027860000004E-2</v>
      </c>
      <c r="G12" s="3">
        <v>7.2274455020000003E-2</v>
      </c>
      <c r="H12" s="3">
        <v>7.1286034809999996E-2</v>
      </c>
      <c r="I12" s="3">
        <v>-6.7421488629999998E-2</v>
      </c>
      <c r="J12" s="3">
        <v>-7.5906908529999997E-2</v>
      </c>
      <c r="K12" s="3">
        <v>-1.3297419410000001E-2</v>
      </c>
      <c r="L12" s="3">
        <v>3.6600065679999998E-3</v>
      </c>
      <c r="M12" s="3">
        <v>3.8373123100000003E-2</v>
      </c>
      <c r="N12" s="3">
        <v>2.0408930589999999E-2</v>
      </c>
      <c r="O12" s="3">
        <v>3.2532122419999997E-2</v>
      </c>
      <c r="P12" s="3">
        <v>8.2999133350000004E-2</v>
      </c>
      <c r="Q12" s="3">
        <v>-5.5800725699999998E-2</v>
      </c>
      <c r="R12" s="3">
        <v>-2.5758205230000001E-2</v>
      </c>
      <c r="S12" s="3">
        <v>-2.4349680169999999E-2</v>
      </c>
      <c r="T12" s="3">
        <v>3.9140696709999999E-2</v>
      </c>
      <c r="U12" s="3">
        <v>8.727838651E-2</v>
      </c>
      <c r="V12" s="3">
        <v>0.1037931101</v>
      </c>
      <c r="W12" s="3">
        <v>2.3955138880000001E-2</v>
      </c>
      <c r="X12" s="3">
        <v>1.7148138010000001E-2</v>
      </c>
      <c r="Y12" s="3">
        <v>-1.2686341150000001E-2</v>
      </c>
      <c r="Z12" s="3">
        <v>-2.494887526E-2</v>
      </c>
      <c r="AA12" s="3">
        <v>9.4379194629999996E-2</v>
      </c>
      <c r="AB12" s="3">
        <v>-3.8312891270000003E-2</v>
      </c>
      <c r="AC12" s="3">
        <v>2.7899098259999999E-3</v>
      </c>
      <c r="AD12" s="3">
        <v>-2.1892854190000002E-2</v>
      </c>
      <c r="AE12" s="3">
        <v>-9.787853648E-2</v>
      </c>
      <c r="AF12" s="3">
        <v>-2.991629443E-2</v>
      </c>
      <c r="AG12" s="3">
        <v>-5.9394830519999997E-2</v>
      </c>
      <c r="AH12" s="3">
        <v>4.0849068250000002E-2</v>
      </c>
      <c r="AI12" s="3">
        <v>-5.1379337599999998E-2</v>
      </c>
      <c r="AJ12" s="3">
        <v>6.2494792100000002E-2</v>
      </c>
      <c r="AK12" s="3">
        <v>1.9841581050000001E-2</v>
      </c>
      <c r="AL12">
        <f t="shared" si="3"/>
        <v>1.7522845412222226E-3</v>
      </c>
      <c r="AM12">
        <f t="shared" si="4"/>
        <v>-5.8234384411222216E-2</v>
      </c>
      <c r="AN12">
        <f t="shared" si="0"/>
        <v>-1.5806975691222223E-2</v>
      </c>
      <c r="AO12">
        <f t="shared" si="0"/>
        <v>-3.4961455321222218E-2</v>
      </c>
      <c r="AP12">
        <f t="shared" si="0"/>
        <v>4.945351524877778E-2</v>
      </c>
      <c r="AQ12">
        <f t="shared" si="0"/>
        <v>-0.10038931240122223</v>
      </c>
      <c r="AR12">
        <f t="shared" si="0"/>
        <v>7.0522170478777776E-2</v>
      </c>
      <c r="AS12">
        <f t="shared" si="0"/>
        <v>6.9533750268777769E-2</v>
      </c>
      <c r="AT12">
        <f t="shared" si="0"/>
        <v>-6.9173773171222225E-2</v>
      </c>
      <c r="AU12">
        <f t="shared" si="0"/>
        <v>-7.7659193071222224E-2</v>
      </c>
      <c r="AV12">
        <f t="shared" si="0"/>
        <v>-1.5049703951222224E-2</v>
      </c>
      <c r="AW12">
        <f t="shared" si="0"/>
        <v>1.9077220267777772E-3</v>
      </c>
      <c r="AX12">
        <f t="shared" si="0"/>
        <v>3.6620838558777784E-2</v>
      </c>
      <c r="AY12">
        <f t="shared" si="0"/>
        <v>1.8656646048777776E-2</v>
      </c>
      <c r="AZ12">
        <f t="shared" si="0"/>
        <v>3.0779837878777774E-2</v>
      </c>
      <c r="BA12">
        <f t="shared" si="0"/>
        <v>8.1246848808777777E-2</v>
      </c>
      <c r="BB12">
        <f t="shared" si="0"/>
        <v>-5.7553010241222217E-2</v>
      </c>
      <c r="BC12">
        <f t="shared" si="0"/>
        <v>-2.7510489771222224E-2</v>
      </c>
      <c r="BD12">
        <f t="shared" si="1"/>
        <v>-2.6101964711222222E-2</v>
      </c>
      <c r="BE12">
        <f t="shared" si="1"/>
        <v>3.7388412168777779E-2</v>
      </c>
      <c r="BF12">
        <f t="shared" si="1"/>
        <v>8.5526101968777773E-2</v>
      </c>
      <c r="BG12">
        <f t="shared" si="1"/>
        <v>0.10204082555877778</v>
      </c>
      <c r="BH12">
        <f t="shared" si="1"/>
        <v>2.2202854338777778E-2</v>
      </c>
      <c r="BI12">
        <f t="shared" si="1"/>
        <v>1.5395853468777778E-2</v>
      </c>
      <c r="BJ12">
        <f t="shared" si="1"/>
        <v>-1.4438625691222224E-2</v>
      </c>
      <c r="BK12">
        <f t="shared" si="1"/>
        <v>-2.6701159801222223E-2</v>
      </c>
      <c r="BL12">
        <f t="shared" si="1"/>
        <v>9.262691008877777E-2</v>
      </c>
      <c r="BM12">
        <f t="shared" si="1"/>
        <v>-4.0065175811222223E-2</v>
      </c>
      <c r="BN12">
        <f t="shared" si="1"/>
        <v>1.0376252847777772E-3</v>
      </c>
      <c r="BO12">
        <f t="shared" si="1"/>
        <v>-2.3645138731222225E-2</v>
      </c>
      <c r="BP12">
        <f t="shared" si="1"/>
        <v>-9.9630821021222227E-2</v>
      </c>
      <c r="BQ12">
        <f t="shared" si="1"/>
        <v>-3.1668578971222223E-2</v>
      </c>
      <c r="BR12">
        <f t="shared" si="1"/>
        <v>-6.1147115061222217E-2</v>
      </c>
      <c r="BS12">
        <f t="shared" si="1"/>
        <v>3.9096783708777783E-2</v>
      </c>
      <c r="BT12">
        <f t="shared" si="2"/>
        <v>-5.3131622141222218E-2</v>
      </c>
      <c r="BU12">
        <f t="shared" si="2"/>
        <v>6.0742507558777782E-2</v>
      </c>
      <c r="BV12">
        <f t="shared" si="2"/>
        <v>1.8089296508777778E-2</v>
      </c>
      <c r="BW12" t="s">
        <v>90</v>
      </c>
      <c r="BX12">
        <v>0</v>
      </c>
      <c r="BY12">
        <f>SUMPRODUCT(AW$2:AW$31,$BX$2:$BX$31)</f>
        <v>-1.1846176349303593E-2</v>
      </c>
      <c r="CA12">
        <v>35100007.219999999</v>
      </c>
    </row>
    <row r="13" spans="1:82" ht="15" thickBot="1" x14ac:dyDescent="0.35">
      <c r="A13" s="12" t="s">
        <v>91</v>
      </c>
      <c r="B13" s="3">
        <v>-5.733873481E-2</v>
      </c>
      <c r="C13" s="3">
        <v>1.9834710739999998E-3</v>
      </c>
      <c r="D13" s="3">
        <v>-0.1148135929</v>
      </c>
      <c r="E13" s="3">
        <v>3.3171822589999997E-2</v>
      </c>
      <c r="F13" s="3">
        <v>-8.5137085139999999E-2</v>
      </c>
      <c r="G13" s="3">
        <v>5.7176656149999998E-2</v>
      </c>
      <c r="H13" s="3">
        <v>5.2592316299999997E-2</v>
      </c>
      <c r="I13" s="3">
        <v>4.0042523029999999E-2</v>
      </c>
      <c r="J13" s="3">
        <v>-1.260647359E-2</v>
      </c>
      <c r="K13" s="3">
        <v>4.9344375429999997E-2</v>
      </c>
      <c r="L13" s="3">
        <v>-6.5767839530000002E-3</v>
      </c>
      <c r="M13" s="3">
        <v>5.230056273E-2</v>
      </c>
      <c r="N13" s="3">
        <v>-2.54797106E-2</v>
      </c>
      <c r="O13" s="3">
        <v>3.4861200770000003E-2</v>
      </c>
      <c r="P13" s="3">
        <v>0.1044915783</v>
      </c>
      <c r="Q13" s="3">
        <v>-1.6379553799999998E-2</v>
      </c>
      <c r="R13" s="3">
        <v>0.1016365202</v>
      </c>
      <c r="S13" s="3">
        <v>-2.971071149E-2</v>
      </c>
      <c r="T13" s="3">
        <v>4.7273704E-2</v>
      </c>
      <c r="U13" s="3">
        <v>5.1808155940000003E-2</v>
      </c>
      <c r="V13" s="3">
        <v>0.2301877591</v>
      </c>
      <c r="W13" s="3">
        <v>4.8959365710000001E-2</v>
      </c>
      <c r="X13" s="3">
        <v>1.303854875E-2</v>
      </c>
      <c r="Y13" s="3">
        <v>5.5213579560000003E-2</v>
      </c>
      <c r="Z13" s="3">
        <v>-6.5405692060000006E-2</v>
      </c>
      <c r="AA13" s="3">
        <v>3.7261206730000003E-2</v>
      </c>
      <c r="AB13" s="3">
        <v>0.21881838070000001</v>
      </c>
      <c r="AC13" s="3">
        <v>-1.0323159780000001E-2</v>
      </c>
      <c r="AD13" s="3">
        <v>-0.1002267574</v>
      </c>
      <c r="AE13" s="3">
        <v>-0.1056787634</v>
      </c>
      <c r="AF13" s="3">
        <v>-3.5506293440000003E-2</v>
      </c>
      <c r="AG13" s="3">
        <v>-6.7978184649999995E-2</v>
      </c>
      <c r="AH13" s="3">
        <v>9.76384535E-2</v>
      </c>
      <c r="AI13" s="3">
        <v>-0.14226419409999999</v>
      </c>
      <c r="AJ13" s="3">
        <v>9.3806881240000001E-2</v>
      </c>
      <c r="AK13" s="3">
        <v>-2.0293855020000001E-4</v>
      </c>
      <c r="AL13">
        <f t="shared" si="3"/>
        <v>1.5166067559466666E-2</v>
      </c>
      <c r="AM13">
        <f t="shared" si="4"/>
        <v>-7.2504802369466659E-2</v>
      </c>
      <c r="AN13">
        <f t="shared" si="0"/>
        <v>-1.3182596485466666E-2</v>
      </c>
      <c r="AO13">
        <f t="shared" si="0"/>
        <v>-0.12997966045946666</v>
      </c>
      <c r="AP13">
        <f t="shared" si="0"/>
        <v>1.8005755030533331E-2</v>
      </c>
      <c r="AQ13">
        <f t="shared" si="0"/>
        <v>-0.10030315269946666</v>
      </c>
      <c r="AR13">
        <f t="shared" si="0"/>
        <v>4.2010588590533332E-2</v>
      </c>
      <c r="AS13">
        <f t="shared" si="0"/>
        <v>3.7426248740533331E-2</v>
      </c>
      <c r="AT13">
        <f t="shared" si="0"/>
        <v>2.4876455470533333E-2</v>
      </c>
      <c r="AU13">
        <f t="shared" si="0"/>
        <v>-2.7772541149466666E-2</v>
      </c>
      <c r="AV13">
        <f t="shared" si="0"/>
        <v>3.4178307870533331E-2</v>
      </c>
      <c r="AW13">
        <f t="shared" si="0"/>
        <v>-2.1742851512466667E-2</v>
      </c>
      <c r="AX13">
        <f t="shared" si="0"/>
        <v>3.7134495170533334E-2</v>
      </c>
      <c r="AY13">
        <f t="shared" si="0"/>
        <v>-4.0645778159466669E-2</v>
      </c>
      <c r="AZ13">
        <f t="shared" si="0"/>
        <v>1.9695133210533337E-2</v>
      </c>
      <c r="BA13">
        <f t="shared" si="0"/>
        <v>8.9325510740533326E-2</v>
      </c>
      <c r="BB13">
        <f t="shared" si="0"/>
        <v>-3.1545621359466661E-2</v>
      </c>
      <c r="BC13">
        <f t="shared" si="0"/>
        <v>8.6470452640533324E-2</v>
      </c>
      <c r="BD13">
        <f t="shared" si="1"/>
        <v>-4.4876779049466665E-2</v>
      </c>
      <c r="BE13">
        <f t="shared" si="1"/>
        <v>3.2107636440533334E-2</v>
      </c>
      <c r="BF13">
        <f t="shared" si="1"/>
        <v>3.6642088380533337E-2</v>
      </c>
      <c r="BG13">
        <f t="shared" si="1"/>
        <v>0.21502169154053333</v>
      </c>
      <c r="BH13">
        <f t="shared" si="1"/>
        <v>3.3793298150533335E-2</v>
      </c>
      <c r="BI13">
        <f t="shared" si="1"/>
        <v>-2.1275188094666657E-3</v>
      </c>
      <c r="BJ13">
        <f t="shared" si="1"/>
        <v>4.0047512000533338E-2</v>
      </c>
      <c r="BK13">
        <f t="shared" si="1"/>
        <v>-8.0571759619466665E-2</v>
      </c>
      <c r="BL13">
        <f t="shared" si="1"/>
        <v>2.2095139170533337E-2</v>
      </c>
      <c r="BM13">
        <f t="shared" si="1"/>
        <v>0.20365231314053334</v>
      </c>
      <c r="BN13">
        <f t="shared" si="1"/>
        <v>-2.5489227339466666E-2</v>
      </c>
      <c r="BO13">
        <f t="shared" si="1"/>
        <v>-0.11539282495946668</v>
      </c>
      <c r="BP13">
        <f t="shared" si="1"/>
        <v>-0.12084483095946666</v>
      </c>
      <c r="BQ13">
        <f t="shared" si="1"/>
        <v>-5.0672360999466669E-2</v>
      </c>
      <c r="BR13">
        <f t="shared" si="1"/>
        <v>-8.3144252209466668E-2</v>
      </c>
      <c r="BS13">
        <f t="shared" si="1"/>
        <v>8.2472385940533327E-2</v>
      </c>
      <c r="BT13">
        <f t="shared" si="2"/>
        <v>-0.15743026165946666</v>
      </c>
      <c r="BU13">
        <f t="shared" si="2"/>
        <v>7.8640813680533328E-2</v>
      </c>
      <c r="BV13">
        <f t="shared" si="2"/>
        <v>-1.5369006109666666E-2</v>
      </c>
      <c r="BW13" t="s">
        <v>90</v>
      </c>
      <c r="BX13">
        <v>0.13269592252236576</v>
      </c>
      <c r="BY13">
        <f>SUMPRODUCT(AX$2:AX$31,$BX$2:$BX$31)</f>
        <v>3.140443634456716E-2</v>
      </c>
      <c r="CA13">
        <v>79339358.510000005</v>
      </c>
    </row>
    <row r="14" spans="1:82" ht="15" thickBot="1" x14ac:dyDescent="0.35">
      <c r="A14" s="12" t="s">
        <v>92</v>
      </c>
      <c r="B14" s="3">
        <v>-1.280409731E-3</v>
      </c>
      <c r="C14" s="3">
        <v>-8.3974358969999996E-2</v>
      </c>
      <c r="D14" s="3">
        <v>7.0328901329999999E-2</v>
      </c>
      <c r="E14" s="3">
        <v>7.2245831969999993E-2</v>
      </c>
      <c r="F14" s="3">
        <v>-2.6524390240000001E-2</v>
      </c>
      <c r="G14" s="3">
        <v>8.4246789850000003E-2</v>
      </c>
      <c r="H14" s="3">
        <v>-5.1993067589999999E-3</v>
      </c>
      <c r="I14" s="3">
        <v>-3.3391405339999999E-2</v>
      </c>
      <c r="J14" s="3">
        <v>2.823670772E-2</v>
      </c>
      <c r="K14" s="3">
        <v>-3.7978381539999998E-3</v>
      </c>
      <c r="L14" s="3">
        <v>2.6979472139999999E-2</v>
      </c>
      <c r="M14" s="3">
        <v>-1.7704169049999999E-2</v>
      </c>
      <c r="N14" s="3">
        <v>1.075581395E-2</v>
      </c>
      <c r="O14" s="3">
        <v>8.8006902499999998E-2</v>
      </c>
      <c r="P14" s="3">
        <v>0.1543748348</v>
      </c>
      <c r="Q14" s="3">
        <v>8.9306159840000007E-3</v>
      </c>
      <c r="R14" s="3">
        <v>0.1146164321</v>
      </c>
      <c r="S14" s="3">
        <v>-3.9706780699999999E-2</v>
      </c>
      <c r="T14" s="3">
        <v>0.1081424936</v>
      </c>
      <c r="U14" s="3">
        <v>0.19077688479999999</v>
      </c>
      <c r="V14" s="3">
        <v>2.0408163270000002E-2</v>
      </c>
      <c r="W14" s="3">
        <v>5.7007874020000002E-2</v>
      </c>
      <c r="X14" s="3">
        <v>5.9594755660000002E-4</v>
      </c>
      <c r="Y14" s="3">
        <v>8.1596188210000004E-2</v>
      </c>
      <c r="Z14" s="3">
        <v>-1.1563876650000001E-2</v>
      </c>
      <c r="AA14" s="3">
        <v>5.389972145E-2</v>
      </c>
      <c r="AB14" s="3">
        <v>9.9511034760000006E-2</v>
      </c>
      <c r="AC14" s="3">
        <v>4.8076923080000002E-4</v>
      </c>
      <c r="AD14" s="3">
        <v>6.4872657380000004E-2</v>
      </c>
      <c r="AE14" s="3">
        <v>-7.9083935019999996E-2</v>
      </c>
      <c r="AF14" s="3">
        <v>-0.1090285434</v>
      </c>
      <c r="AG14" s="3">
        <v>-8.3321875429999998E-2</v>
      </c>
      <c r="AH14" s="3">
        <v>-2.804859757E-2</v>
      </c>
      <c r="AI14" s="3">
        <v>-3.8734567900000003E-2</v>
      </c>
      <c r="AJ14" s="3">
        <v>0.14817787769999999</v>
      </c>
      <c r="AK14" s="3">
        <v>-3.215883669E-3</v>
      </c>
      <c r="AL14">
        <f t="shared" si="3"/>
        <v>2.5544888214955552E-2</v>
      </c>
      <c r="AM14">
        <f t="shared" si="4"/>
        <v>-2.6825297945955551E-2</v>
      </c>
      <c r="AN14">
        <f t="shared" si="0"/>
        <v>-0.10951924718495555</v>
      </c>
      <c r="AO14">
        <f t="shared" si="0"/>
        <v>4.4784013115044444E-2</v>
      </c>
      <c r="AP14">
        <f t="shared" si="0"/>
        <v>4.6700943755044438E-2</v>
      </c>
      <c r="AQ14">
        <f t="shared" si="0"/>
        <v>-5.2069278454955556E-2</v>
      </c>
      <c r="AR14">
        <f t="shared" si="0"/>
        <v>5.8701901635044448E-2</v>
      </c>
      <c r="AS14">
        <f t="shared" si="0"/>
        <v>-3.0744194973955551E-2</v>
      </c>
      <c r="AT14">
        <f t="shared" si="0"/>
        <v>-5.8936293554955554E-2</v>
      </c>
      <c r="AU14">
        <f t="shared" si="0"/>
        <v>2.6918195050444488E-3</v>
      </c>
      <c r="AV14">
        <f t="shared" si="0"/>
        <v>-2.9342726368955553E-2</v>
      </c>
      <c r="AW14">
        <f t="shared" si="0"/>
        <v>1.434583925044447E-3</v>
      </c>
      <c r="AX14">
        <f t="shared" si="0"/>
        <v>-4.3249057264955551E-2</v>
      </c>
      <c r="AY14">
        <f t="shared" si="0"/>
        <v>-1.4789074264955552E-2</v>
      </c>
      <c r="AZ14">
        <f t="shared" si="0"/>
        <v>6.2462014285044443E-2</v>
      </c>
      <c r="BA14">
        <f t="shared" si="0"/>
        <v>0.12882994658504446</v>
      </c>
      <c r="BB14">
        <f t="shared" si="0"/>
        <v>-1.6614272230955553E-2</v>
      </c>
      <c r="BC14">
        <f t="shared" si="0"/>
        <v>8.9071543885044444E-2</v>
      </c>
      <c r="BD14">
        <f t="shared" si="1"/>
        <v>-6.5251668914955555E-2</v>
      </c>
      <c r="BE14">
        <f t="shared" si="1"/>
        <v>8.2597605385044445E-2</v>
      </c>
      <c r="BF14">
        <f t="shared" si="1"/>
        <v>0.16523199658504445</v>
      </c>
      <c r="BG14">
        <f t="shared" si="1"/>
        <v>-5.1367249449555501E-3</v>
      </c>
      <c r="BH14">
        <f t="shared" si="1"/>
        <v>3.1462985805044447E-2</v>
      </c>
      <c r="BI14">
        <f t="shared" si="1"/>
        <v>-2.494894065835555E-2</v>
      </c>
      <c r="BJ14">
        <f t="shared" si="1"/>
        <v>5.6051299995044448E-2</v>
      </c>
      <c r="BK14">
        <f t="shared" si="1"/>
        <v>-3.7108764864955554E-2</v>
      </c>
      <c r="BL14">
        <f t="shared" si="1"/>
        <v>2.8354833235044449E-2</v>
      </c>
      <c r="BM14">
        <f t="shared" si="1"/>
        <v>7.3966146545044451E-2</v>
      </c>
      <c r="BN14">
        <f t="shared" si="1"/>
        <v>-2.5064118984155552E-2</v>
      </c>
      <c r="BO14">
        <f t="shared" si="1"/>
        <v>3.9327769165044449E-2</v>
      </c>
      <c r="BP14">
        <f t="shared" si="1"/>
        <v>-0.10462882323495555</v>
      </c>
      <c r="BQ14">
        <f t="shared" si="1"/>
        <v>-0.13457343161495555</v>
      </c>
      <c r="BR14">
        <f t="shared" si="1"/>
        <v>-0.10886676364495555</v>
      </c>
      <c r="BS14">
        <f t="shared" si="1"/>
        <v>-5.3593485784955555E-2</v>
      </c>
      <c r="BT14">
        <f t="shared" si="2"/>
        <v>-6.4279456114955558E-2</v>
      </c>
      <c r="BU14">
        <f t="shared" si="2"/>
        <v>0.12263298948504443</v>
      </c>
      <c r="BV14">
        <f t="shared" si="2"/>
        <v>-2.8760771883955552E-2</v>
      </c>
      <c r="BW14" t="s">
        <v>90</v>
      </c>
      <c r="BX14">
        <v>0</v>
      </c>
      <c r="BY14">
        <f>SUMPRODUCT(AY$2:AY$31,$BX$2:$BX$31)</f>
        <v>-8.0663020522073539E-3</v>
      </c>
      <c r="CA14">
        <v>71937554.909999996</v>
      </c>
    </row>
    <row r="15" spans="1:82" ht="15" thickBot="1" x14ac:dyDescent="0.35">
      <c r="A15" s="12" t="s">
        <v>93</v>
      </c>
      <c r="B15" s="3">
        <v>2.2609520349999999E-2</v>
      </c>
      <c r="C15" s="3">
        <v>-9.0167453839999995E-2</v>
      </c>
      <c r="D15" s="3">
        <v>9.6712285669999995E-3</v>
      </c>
      <c r="E15" s="3">
        <v>7.3151275690000003E-2</v>
      </c>
      <c r="F15" s="3">
        <v>-7.5783972130000002E-2</v>
      </c>
      <c r="G15" s="3">
        <v>7.5168080430000006E-2</v>
      </c>
      <c r="H15" s="3">
        <v>-1.8192656309999999E-2</v>
      </c>
      <c r="I15" s="3">
        <v>-4.5982142859999998E-2</v>
      </c>
      <c r="J15" s="3">
        <v>1.3807518330000001E-2</v>
      </c>
      <c r="K15" s="3">
        <v>2.5848062630000002E-2</v>
      </c>
      <c r="L15" s="3">
        <v>1.5520013439999999E-2</v>
      </c>
      <c r="M15" s="3">
        <v>5.1177078719999998E-2</v>
      </c>
      <c r="N15" s="3">
        <v>-1.433645427E-2</v>
      </c>
      <c r="O15" s="3">
        <v>9.1089989570000002E-2</v>
      </c>
      <c r="P15" s="3">
        <v>4.2719857030000002E-2</v>
      </c>
      <c r="Q15" s="3">
        <v>-8.0811674969999997E-2</v>
      </c>
      <c r="R15" s="3">
        <v>8.9072203170000003E-2</v>
      </c>
      <c r="S15" s="3">
        <v>1.201501877E-2</v>
      </c>
      <c r="T15" s="3">
        <v>3.3638387339999999E-2</v>
      </c>
      <c r="U15" s="3">
        <v>0.1351998086</v>
      </c>
      <c r="V15" s="3">
        <v>9.3170320400000006E-2</v>
      </c>
      <c r="W15" s="3">
        <v>9.0821442340000003E-2</v>
      </c>
      <c r="X15" s="3">
        <v>-2.103588474E-2</v>
      </c>
      <c r="Y15" s="3">
        <v>9.0104730950000003E-2</v>
      </c>
      <c r="Z15" s="3">
        <v>2.7000165650000001E-2</v>
      </c>
      <c r="AA15" s="3">
        <v>6.7580645159999994E-2</v>
      </c>
      <c r="AB15" s="3">
        <v>5.2122677139999997E-2</v>
      </c>
      <c r="AC15" s="3">
        <v>-3.101665709E-2</v>
      </c>
      <c r="AD15" s="3">
        <v>4.5791345579999997E-2</v>
      </c>
      <c r="AE15" s="3">
        <v>-9.0831798209999995E-2</v>
      </c>
      <c r="AF15" s="3">
        <v>2.6807980049999999E-2</v>
      </c>
      <c r="AG15" s="3">
        <v>-6.2841530049999997E-2</v>
      </c>
      <c r="AH15" s="3">
        <v>-2.283770651E-2</v>
      </c>
      <c r="AI15" s="3">
        <v>-0.1684070943</v>
      </c>
      <c r="AJ15" s="3">
        <v>0.1574646203</v>
      </c>
      <c r="AK15" s="3">
        <v>5.5622524540000003E-2</v>
      </c>
      <c r="AL15">
        <f t="shared" si="3"/>
        <v>1.8748040818527781E-2</v>
      </c>
      <c r="AM15">
        <f t="shared" si="4"/>
        <v>3.8614795314722179E-3</v>
      </c>
      <c r="AN15">
        <f t="shared" si="0"/>
        <v>-0.10891549465852778</v>
      </c>
      <c r="AO15">
        <f t="shared" si="0"/>
        <v>-9.0768122515277813E-3</v>
      </c>
      <c r="AP15">
        <f t="shared" si="0"/>
        <v>5.4403234871472222E-2</v>
      </c>
      <c r="AQ15">
        <f t="shared" si="0"/>
        <v>-9.4532012948527783E-2</v>
      </c>
      <c r="AR15">
        <f t="shared" si="0"/>
        <v>5.6420039611472225E-2</v>
      </c>
      <c r="AS15">
        <f t="shared" si="0"/>
        <v>-3.694069712852778E-2</v>
      </c>
      <c r="AT15">
        <f t="shared" si="0"/>
        <v>-6.4730183678527786E-2</v>
      </c>
      <c r="AU15">
        <f t="shared" si="0"/>
        <v>-4.94052248852778E-3</v>
      </c>
      <c r="AV15">
        <f t="shared" si="0"/>
        <v>7.1000218114722208E-3</v>
      </c>
      <c r="AW15">
        <f t="shared" si="0"/>
        <v>-3.2280273785277817E-3</v>
      </c>
      <c r="AX15">
        <f t="shared" si="0"/>
        <v>3.2429037901472217E-2</v>
      </c>
      <c r="AY15">
        <f t="shared" si="0"/>
        <v>-3.3084495088527781E-2</v>
      </c>
      <c r="AZ15">
        <f t="shared" si="0"/>
        <v>7.2341948751472221E-2</v>
      </c>
      <c r="BA15">
        <f t="shared" si="0"/>
        <v>2.3971816211472222E-2</v>
      </c>
      <c r="BB15">
        <f t="shared" si="0"/>
        <v>-9.9559715788527778E-2</v>
      </c>
      <c r="BC15">
        <f t="shared" si="0"/>
        <v>7.0324162351472222E-2</v>
      </c>
      <c r="BD15">
        <f t="shared" si="1"/>
        <v>-6.7330220485277807E-3</v>
      </c>
      <c r="BE15">
        <f t="shared" si="1"/>
        <v>1.4890346521472218E-2</v>
      </c>
      <c r="BF15">
        <f t="shared" si="1"/>
        <v>0.11645176778147222</v>
      </c>
      <c r="BG15">
        <f t="shared" si="1"/>
        <v>7.4422279581472225E-2</v>
      </c>
      <c r="BH15">
        <f t="shared" si="1"/>
        <v>7.2073401521472222E-2</v>
      </c>
      <c r="BI15">
        <f t="shared" si="1"/>
        <v>-3.9783925558527777E-2</v>
      </c>
      <c r="BJ15">
        <f t="shared" si="1"/>
        <v>7.1356690131472222E-2</v>
      </c>
      <c r="BK15">
        <f t="shared" si="1"/>
        <v>8.2521248314722205E-3</v>
      </c>
      <c r="BL15">
        <f t="shared" si="1"/>
        <v>4.8832604341472213E-2</v>
      </c>
      <c r="BM15">
        <f t="shared" si="1"/>
        <v>3.3374636321472216E-2</v>
      </c>
      <c r="BN15">
        <f t="shared" si="1"/>
        <v>-4.9764697908527777E-2</v>
      </c>
      <c r="BO15">
        <f t="shared" si="1"/>
        <v>2.7043304761472216E-2</v>
      </c>
      <c r="BP15">
        <f t="shared" si="1"/>
        <v>-0.10957983902852778</v>
      </c>
      <c r="BQ15">
        <f t="shared" si="1"/>
        <v>8.0599392314722185E-3</v>
      </c>
      <c r="BR15">
        <f t="shared" si="1"/>
        <v>-8.1589570868527778E-2</v>
      </c>
      <c r="BS15">
        <f t="shared" si="1"/>
        <v>-4.1585747328527781E-2</v>
      </c>
      <c r="BT15">
        <f t="shared" si="2"/>
        <v>-0.18715513511852777</v>
      </c>
      <c r="BU15">
        <f t="shared" si="2"/>
        <v>0.1387165794814722</v>
      </c>
      <c r="BV15">
        <f t="shared" si="2"/>
        <v>3.6874483721472222E-2</v>
      </c>
      <c r="BW15" t="s">
        <v>90</v>
      </c>
      <c r="BX15">
        <v>0</v>
      </c>
      <c r="BY15">
        <f>SUMPRODUCT(AZ$2:AZ$31,$BX$2:$BX$31)</f>
        <v>4.0889611032195565E-2</v>
      </c>
      <c r="CA15">
        <v>66141794.090000004</v>
      </c>
    </row>
    <row r="16" spans="1:82" ht="15" thickBot="1" x14ac:dyDescent="0.35">
      <c r="A16" s="12" t="s">
        <v>94</v>
      </c>
      <c r="B16" s="3">
        <v>-0.34475163040000001</v>
      </c>
      <c r="C16" s="3">
        <v>2.1519891999999999E-2</v>
      </c>
      <c r="D16" s="3">
        <v>0.1270211443</v>
      </c>
      <c r="E16" s="3">
        <v>0.1202464708</v>
      </c>
      <c r="F16" s="3">
        <v>-7.199737296E-2</v>
      </c>
      <c r="G16" s="3">
        <v>-6.9842533619999994E-2</v>
      </c>
      <c r="H16" s="3">
        <v>6.4672594989999997E-3</v>
      </c>
      <c r="I16" s="3">
        <v>-8.7266713910000002E-2</v>
      </c>
      <c r="J16" s="3">
        <v>-0.36644580180000003</v>
      </c>
      <c r="K16" s="3">
        <v>-0.60348067650000004</v>
      </c>
      <c r="L16" s="3">
        <v>0.81568102200000003</v>
      </c>
      <c r="M16" s="3">
        <v>7.9271406680000003E-2</v>
      </c>
      <c r="N16" s="3">
        <v>2.8075709779999999E-2</v>
      </c>
      <c r="O16" s="3">
        <v>-3.252531451E-2</v>
      </c>
      <c r="P16" s="3">
        <v>0.15583042599999999</v>
      </c>
      <c r="Q16" s="3">
        <v>-0.15059910360000001</v>
      </c>
      <c r="R16" s="3">
        <v>6.2994669680000004E-2</v>
      </c>
      <c r="S16" s="3">
        <v>-7.6482804030000004E-2</v>
      </c>
      <c r="T16" s="3">
        <v>0.1285032633</v>
      </c>
      <c r="U16" s="3">
        <v>0.55229393469999999</v>
      </c>
      <c r="V16" s="3">
        <v>4.5366311829999999E-2</v>
      </c>
      <c r="W16" s="3">
        <v>0.1351343257</v>
      </c>
      <c r="X16" s="3">
        <v>-3.1608664680000002E-2</v>
      </c>
      <c r="Y16" s="3">
        <v>-2.0434296920000001E-2</v>
      </c>
      <c r="Z16" s="3">
        <v>6.1580396629999999E-2</v>
      </c>
      <c r="AA16" s="3">
        <v>-6.2645741089999998E-2</v>
      </c>
      <c r="AB16" s="3">
        <v>3.2647584969999997E-2</v>
      </c>
      <c r="AC16" s="3">
        <v>-4.8993070589999996E-3</v>
      </c>
      <c r="AD16" s="3">
        <v>3.5116829420000002E-2</v>
      </c>
      <c r="AE16" s="3">
        <v>-0.15998318180000001</v>
      </c>
      <c r="AF16" s="3">
        <v>-0.1716824126</v>
      </c>
      <c r="AG16" s="3">
        <v>-0.21391343760000001</v>
      </c>
      <c r="AH16" s="3">
        <v>-4.1462477179999999E-2</v>
      </c>
      <c r="AI16" s="3">
        <v>-0.22369806019999999</v>
      </c>
      <c r="AJ16" s="3">
        <v>0.2250129132</v>
      </c>
      <c r="AK16" s="3">
        <v>-3.805407685E-2</v>
      </c>
      <c r="AL16">
        <f t="shared" si="3"/>
        <v>-3.8613901894444464E-3</v>
      </c>
      <c r="AM16">
        <f t="shared" si="4"/>
        <v>-0.34089024021055558</v>
      </c>
      <c r="AN16">
        <f t="shared" si="0"/>
        <v>2.5381282189444444E-2</v>
      </c>
      <c r="AO16">
        <f t="shared" si="0"/>
        <v>0.13088253448944445</v>
      </c>
      <c r="AP16">
        <f t="shared" si="0"/>
        <v>0.12410786098944446</v>
      </c>
      <c r="AQ16">
        <f t="shared" si="0"/>
        <v>-6.8135982770555548E-2</v>
      </c>
      <c r="AR16">
        <f t="shared" si="0"/>
        <v>-6.5981143430555542E-2</v>
      </c>
      <c r="AS16">
        <f t="shared" si="0"/>
        <v>1.0328649688444446E-2</v>
      </c>
      <c r="AT16">
        <f t="shared" si="0"/>
        <v>-8.3405323720555549E-2</v>
      </c>
      <c r="AU16">
        <f t="shared" si="0"/>
        <v>-0.3625844116105556</v>
      </c>
      <c r="AV16">
        <f t="shared" si="0"/>
        <v>-0.59961928631055561</v>
      </c>
      <c r="AW16">
        <f t="shared" si="0"/>
        <v>0.81954241218944446</v>
      </c>
      <c r="AX16">
        <f t="shared" si="0"/>
        <v>8.3132796869444456E-2</v>
      </c>
      <c r="AY16">
        <f t="shared" si="0"/>
        <v>3.1937099969444445E-2</v>
      </c>
      <c r="AZ16">
        <f t="shared" si="0"/>
        <v>-2.8663924320555555E-2</v>
      </c>
      <c r="BA16">
        <f t="shared" si="0"/>
        <v>0.15969181618944445</v>
      </c>
      <c r="BB16">
        <f t="shared" si="0"/>
        <v>-0.14673771341055555</v>
      </c>
      <c r="BC16">
        <f t="shared" si="0"/>
        <v>6.6856059869444456E-2</v>
      </c>
      <c r="BD16">
        <f t="shared" si="1"/>
        <v>-7.2621413840555551E-2</v>
      </c>
      <c r="BE16">
        <f t="shared" si="1"/>
        <v>0.13236465348944446</v>
      </c>
      <c r="BF16">
        <f t="shared" si="1"/>
        <v>0.55615532488944441</v>
      </c>
      <c r="BG16">
        <f t="shared" si="1"/>
        <v>4.9227702019444444E-2</v>
      </c>
      <c r="BH16">
        <f t="shared" si="1"/>
        <v>0.13899571588944445</v>
      </c>
      <c r="BI16">
        <f t="shared" si="1"/>
        <v>-2.7747274490555557E-2</v>
      </c>
      <c r="BJ16">
        <f t="shared" si="1"/>
        <v>-1.6572906730555555E-2</v>
      </c>
      <c r="BK16">
        <f t="shared" si="1"/>
        <v>6.5441786819444445E-2</v>
      </c>
      <c r="BL16">
        <f t="shared" si="1"/>
        <v>-5.8784350900555553E-2</v>
      </c>
      <c r="BM16">
        <f t="shared" si="1"/>
        <v>3.6508975159444443E-2</v>
      </c>
      <c r="BN16">
        <f t="shared" si="1"/>
        <v>-1.0379168695555533E-3</v>
      </c>
      <c r="BO16">
        <f t="shared" si="1"/>
        <v>3.8978219609444448E-2</v>
      </c>
      <c r="BP16">
        <f t="shared" si="1"/>
        <v>-0.15612179161055556</v>
      </c>
      <c r="BQ16">
        <f t="shared" si="1"/>
        <v>-0.16782102241055555</v>
      </c>
      <c r="BR16">
        <f t="shared" si="1"/>
        <v>-0.21005204741055555</v>
      </c>
      <c r="BS16">
        <f t="shared" si="1"/>
        <v>-3.7601086990555553E-2</v>
      </c>
      <c r="BT16">
        <f t="shared" si="2"/>
        <v>-0.21983667001055554</v>
      </c>
      <c r="BU16">
        <f t="shared" si="2"/>
        <v>0.22887430338944445</v>
      </c>
      <c r="BV16">
        <f t="shared" si="2"/>
        <v>-3.4192686660555555E-2</v>
      </c>
      <c r="BW16" t="s">
        <v>90</v>
      </c>
      <c r="BX16">
        <v>0</v>
      </c>
      <c r="BY16">
        <f>SUMPRODUCT(BA$2:BA$31,$BX$2:$BX$31)</f>
        <v>2.4950732843954247E-2</v>
      </c>
      <c r="CA16">
        <v>12332013.300000001</v>
      </c>
    </row>
    <row r="17" spans="1:81" ht="15" thickBot="1" x14ac:dyDescent="0.35">
      <c r="A17" s="8" t="s">
        <v>95</v>
      </c>
      <c r="B17" s="3">
        <v>-4.0796146849999999E-2</v>
      </c>
      <c r="C17" s="3">
        <v>-2.7733439740000001E-2</v>
      </c>
      <c r="D17" s="3">
        <v>6.0058827549999999E-2</v>
      </c>
      <c r="E17" s="3">
        <v>-3.6619990970000002E-2</v>
      </c>
      <c r="F17" s="3">
        <v>-5.3250276300000003E-2</v>
      </c>
      <c r="G17" s="3">
        <v>8.7870105059999995E-2</v>
      </c>
      <c r="H17" s="3">
        <v>6.3278379349999997E-2</v>
      </c>
      <c r="I17" s="3">
        <v>-7.7525306579999995E-2</v>
      </c>
      <c r="J17" s="3">
        <v>1.6940724040000001E-2</v>
      </c>
      <c r="K17" s="3">
        <v>-3.0122249390000001E-2</v>
      </c>
      <c r="L17" s="3">
        <v>-4.0065880140000003E-2</v>
      </c>
      <c r="M17" s="3">
        <v>-0.1226933716</v>
      </c>
      <c r="N17" s="3">
        <v>5.2324885250000001E-2</v>
      </c>
      <c r="O17" s="3">
        <v>1.3047106120000001E-2</v>
      </c>
      <c r="P17" s="3">
        <v>1.512542119E-2</v>
      </c>
      <c r="Q17" s="3">
        <v>5.8825698900000001E-2</v>
      </c>
      <c r="R17" s="3">
        <v>0</v>
      </c>
      <c r="S17" s="3">
        <v>-4.6710090910000002E-2</v>
      </c>
      <c r="T17" s="3">
        <v>6.3395206080000002E-2</v>
      </c>
      <c r="U17" s="3">
        <v>6.0303061540000001E-2</v>
      </c>
      <c r="V17" s="3">
        <v>7.6479357050000002E-2</v>
      </c>
      <c r="W17" s="3">
        <v>7.8270817029999998E-3</v>
      </c>
      <c r="X17" s="3">
        <v>-0.10505406539999999</v>
      </c>
      <c r="Y17" s="3">
        <v>-5.1733920760000003E-2</v>
      </c>
      <c r="Z17" s="3">
        <v>-9.6089542779999992E-3</v>
      </c>
      <c r="AA17" s="3">
        <v>0.1136185941</v>
      </c>
      <c r="AB17" s="3">
        <v>0.19243657250000001</v>
      </c>
      <c r="AC17" s="3">
        <v>4.0385387389999999E-2</v>
      </c>
      <c r="AD17" s="3">
        <v>-3.5036271030000003E-2</v>
      </c>
      <c r="AE17" s="3">
        <v>-6.3099808059999998E-2</v>
      </c>
      <c r="AF17" s="3">
        <v>5.724854176E-2</v>
      </c>
      <c r="AG17" s="3">
        <v>1.19223834E-2</v>
      </c>
      <c r="AH17" s="3">
        <v>-1.063829787E-4</v>
      </c>
      <c r="AI17" s="3">
        <v>-0.1021917225</v>
      </c>
      <c r="AJ17" s="3">
        <v>-6.9354743139999994E-2</v>
      </c>
      <c r="AK17" s="3">
        <v>-5.7587622960000001E-2</v>
      </c>
      <c r="AL17">
        <f t="shared" si="3"/>
        <v>6.0547470545277925E-4</v>
      </c>
      <c r="AM17">
        <f t="shared" si="4"/>
        <v>-4.1401621555452781E-2</v>
      </c>
      <c r="AN17">
        <f t="shared" si="0"/>
        <v>-2.8338914445452779E-2</v>
      </c>
      <c r="AO17">
        <f t="shared" si="0"/>
        <v>5.9453352844547218E-2</v>
      </c>
      <c r="AP17">
        <f t="shared" si="0"/>
        <v>-3.7225465675452783E-2</v>
      </c>
      <c r="AQ17">
        <f t="shared" si="0"/>
        <v>-5.3855751005452784E-2</v>
      </c>
      <c r="AR17">
        <f t="shared" si="0"/>
        <v>8.7264630354547221E-2</v>
      </c>
      <c r="AS17">
        <f t="shared" si="0"/>
        <v>6.2672904644547223E-2</v>
      </c>
      <c r="AT17">
        <f t="shared" si="0"/>
        <v>-7.8130781285452769E-2</v>
      </c>
      <c r="AU17">
        <f t="shared" si="0"/>
        <v>1.6335249334547223E-2</v>
      </c>
      <c r="AV17">
        <f t="shared" si="0"/>
        <v>-3.0727724095452779E-2</v>
      </c>
      <c r="AW17">
        <f t="shared" si="0"/>
        <v>-4.0671354845452784E-2</v>
      </c>
      <c r="AX17">
        <f t="shared" si="0"/>
        <v>-0.12329884630545278</v>
      </c>
      <c r="AY17">
        <f t="shared" si="0"/>
        <v>5.171941054454722E-2</v>
      </c>
      <c r="AZ17">
        <f t="shared" si="0"/>
        <v>1.2441631414547221E-2</v>
      </c>
      <c r="BA17">
        <f t="shared" si="0"/>
        <v>1.4519946484547221E-2</v>
      </c>
      <c r="BB17">
        <f t="shared" si="0"/>
        <v>5.822022419454722E-2</v>
      </c>
      <c r="BC17">
        <f t="shared" ref="BC17:BR37" si="5">R17-$AL17</f>
        <v>-6.0547470545277925E-4</v>
      </c>
      <c r="BD17">
        <f t="shared" si="1"/>
        <v>-4.7315565615452783E-2</v>
      </c>
      <c r="BE17">
        <f t="shared" si="1"/>
        <v>6.2789731374547228E-2</v>
      </c>
      <c r="BF17">
        <f t="shared" si="1"/>
        <v>5.969758683454722E-2</v>
      </c>
      <c r="BG17">
        <f t="shared" si="1"/>
        <v>7.5873882344547228E-2</v>
      </c>
      <c r="BH17">
        <f t="shared" si="1"/>
        <v>7.2216069975472204E-3</v>
      </c>
      <c r="BI17">
        <f t="shared" si="1"/>
        <v>-0.10565954010545277</v>
      </c>
      <c r="BJ17">
        <f t="shared" si="1"/>
        <v>-5.2339395465452784E-2</v>
      </c>
      <c r="BK17">
        <f t="shared" si="1"/>
        <v>-1.0214428983452779E-2</v>
      </c>
      <c r="BL17">
        <f t="shared" si="1"/>
        <v>0.11301311939454722</v>
      </c>
      <c r="BM17">
        <f t="shared" si="1"/>
        <v>0.19183109779454724</v>
      </c>
      <c r="BN17">
        <f t="shared" si="1"/>
        <v>3.9779912684547218E-2</v>
      </c>
      <c r="BO17">
        <f t="shared" si="1"/>
        <v>-3.5641745735452784E-2</v>
      </c>
      <c r="BP17">
        <f t="shared" si="1"/>
        <v>-6.3705282765452773E-2</v>
      </c>
      <c r="BQ17">
        <f t="shared" si="1"/>
        <v>5.6643067054547219E-2</v>
      </c>
      <c r="BR17">
        <f t="shared" si="1"/>
        <v>1.1316908694547221E-2</v>
      </c>
      <c r="BS17">
        <f t="shared" ref="BS17:BV37" si="6">AH17-$AL17</f>
        <v>-7.1185768415277923E-4</v>
      </c>
      <c r="BT17">
        <f t="shared" si="2"/>
        <v>-0.10279719720545277</v>
      </c>
      <c r="BU17">
        <f t="shared" si="2"/>
        <v>-6.9960217845452768E-2</v>
      </c>
      <c r="BV17">
        <f t="shared" si="2"/>
        <v>-5.8193097665452782E-2</v>
      </c>
      <c r="BW17" t="s">
        <v>96</v>
      </c>
      <c r="BX17">
        <v>1.3409028815682629E-2</v>
      </c>
      <c r="BY17">
        <f>SUMPRODUCT(BB$2:BB$31,$BX$2:$BX$31)</f>
        <v>-1.8553835517763337E-2</v>
      </c>
      <c r="CA17">
        <v>31305230.870000001</v>
      </c>
    </row>
    <row r="18" spans="1:81" ht="15" thickBot="1" x14ac:dyDescent="0.35">
      <c r="A18" s="8" t="s">
        <v>97</v>
      </c>
      <c r="B18" s="3">
        <v>-5.1413990469999997E-2</v>
      </c>
      <c r="C18" s="3">
        <v>-2.8906029400000002E-2</v>
      </c>
      <c r="D18" s="3">
        <v>1.065164825E-2</v>
      </c>
      <c r="E18" s="3">
        <v>-2.7484175780000002E-2</v>
      </c>
      <c r="F18" s="3">
        <v>-6.4338321160000003E-2</v>
      </c>
      <c r="G18" s="3">
        <v>6.2771463279999995E-2</v>
      </c>
      <c r="H18" s="3">
        <v>6.1898125679999999E-2</v>
      </c>
      <c r="I18" s="3">
        <v>-3.9548189220000002E-2</v>
      </c>
      <c r="J18" s="3">
        <v>3.1320047900000002E-2</v>
      </c>
      <c r="K18" s="3">
        <v>-1.3651115009999999E-2</v>
      </c>
      <c r="L18" s="3">
        <v>-3.2283381379999997E-2</v>
      </c>
      <c r="M18" s="3">
        <v>4.1641972609999999E-3</v>
      </c>
      <c r="N18" s="3">
        <v>2.1821852919999999E-2</v>
      </c>
      <c r="O18" s="3">
        <v>3.875968992E-3</v>
      </c>
      <c r="P18" s="3">
        <v>3.6096600800000003E-2</v>
      </c>
      <c r="Q18" s="3">
        <v>-1.8895497519999999E-2</v>
      </c>
      <c r="R18" s="3">
        <v>5.117969495E-2</v>
      </c>
      <c r="S18" s="3">
        <v>-4.5301252620000003E-2</v>
      </c>
      <c r="T18" s="3">
        <v>3.5280148419999997E-2</v>
      </c>
      <c r="U18" s="3">
        <v>8.7682073629999996E-2</v>
      </c>
      <c r="V18" s="3">
        <v>5.9445352450000002E-3</v>
      </c>
      <c r="W18" s="3">
        <v>7.3153474230000001E-2</v>
      </c>
      <c r="X18" s="3">
        <v>-5.342970868E-2</v>
      </c>
      <c r="Y18" s="3">
        <v>-1.4356473959999999E-2</v>
      </c>
      <c r="Z18" s="3">
        <v>-3.9181814609999997E-2</v>
      </c>
      <c r="AA18" s="3">
        <v>6.3525790329999998E-2</v>
      </c>
      <c r="AB18" s="3">
        <v>0.1232534611</v>
      </c>
      <c r="AC18" s="3">
        <v>3.8400583760000002E-2</v>
      </c>
      <c r="AD18" s="3">
        <v>-6.2640680759999998E-2</v>
      </c>
      <c r="AE18" s="3">
        <v>-7.0294014289999998E-2</v>
      </c>
      <c r="AF18" s="3">
        <v>7.620103567E-2</v>
      </c>
      <c r="AG18" s="3">
        <v>-4.1221302549999998E-2</v>
      </c>
      <c r="AH18" s="3">
        <v>4.2981342189999999E-3</v>
      </c>
      <c r="AI18" s="3">
        <v>-0.1529885225</v>
      </c>
      <c r="AJ18" s="3">
        <v>3.5283140740000003E-2</v>
      </c>
      <c r="AK18" s="3">
        <v>-4.3855635509999998E-2</v>
      </c>
      <c r="AL18">
        <f t="shared" si="3"/>
        <v>7.5032977658333235E-4</v>
      </c>
      <c r="AM18">
        <f t="shared" si="4"/>
        <v>-5.216432024658333E-2</v>
      </c>
      <c r="AN18">
        <f t="shared" si="4"/>
        <v>-2.9656359176583335E-2</v>
      </c>
      <c r="AO18">
        <f t="shared" si="4"/>
        <v>9.9013184734166679E-3</v>
      </c>
      <c r="AP18">
        <f t="shared" si="4"/>
        <v>-2.8234505556583335E-2</v>
      </c>
      <c r="AQ18">
        <f t="shared" si="4"/>
        <v>-6.5088650936583337E-2</v>
      </c>
      <c r="AR18">
        <f t="shared" si="4"/>
        <v>6.2021133503416662E-2</v>
      </c>
      <c r="AS18">
        <f t="shared" si="4"/>
        <v>6.1147795903416666E-2</v>
      </c>
      <c r="AT18">
        <f t="shared" si="4"/>
        <v>-4.0298518996583335E-2</v>
      </c>
      <c r="AU18">
        <f t="shared" si="4"/>
        <v>3.0569718123416668E-2</v>
      </c>
      <c r="AV18">
        <f t="shared" si="4"/>
        <v>-1.4401444786583331E-2</v>
      </c>
      <c r="AW18">
        <f t="shared" si="4"/>
        <v>-3.303371115658333E-2</v>
      </c>
      <c r="AX18">
        <f t="shared" si="4"/>
        <v>3.4138674844166675E-3</v>
      </c>
      <c r="AY18">
        <f t="shared" si="4"/>
        <v>2.1071523143416666E-2</v>
      </c>
      <c r="AZ18">
        <f t="shared" si="4"/>
        <v>3.1256392154166675E-3</v>
      </c>
      <c r="BA18">
        <f t="shared" si="4"/>
        <v>3.534627102341667E-2</v>
      </c>
      <c r="BB18">
        <f t="shared" si="4"/>
        <v>-1.9645827296583332E-2</v>
      </c>
      <c r="BC18">
        <f t="shared" si="5"/>
        <v>5.0429365173416667E-2</v>
      </c>
      <c r="BD18">
        <f t="shared" si="5"/>
        <v>-4.6051582396583336E-2</v>
      </c>
      <c r="BE18">
        <f t="shared" si="5"/>
        <v>3.4529818643416664E-2</v>
      </c>
      <c r="BF18">
        <f t="shared" si="5"/>
        <v>8.6931743853416663E-2</v>
      </c>
      <c r="BG18">
        <f t="shared" si="5"/>
        <v>5.1942054684166678E-3</v>
      </c>
      <c r="BH18">
        <f t="shared" si="5"/>
        <v>7.2403144453416668E-2</v>
      </c>
      <c r="BI18">
        <f t="shared" si="5"/>
        <v>-5.4180038456583333E-2</v>
      </c>
      <c r="BJ18">
        <f t="shared" si="5"/>
        <v>-1.5106803736583331E-2</v>
      </c>
      <c r="BK18">
        <f t="shared" si="5"/>
        <v>-3.9932144386583331E-2</v>
      </c>
      <c r="BL18">
        <f t="shared" si="5"/>
        <v>6.2775460553416665E-2</v>
      </c>
      <c r="BM18">
        <f t="shared" si="5"/>
        <v>0.12250313132341667</v>
      </c>
      <c r="BN18">
        <f t="shared" si="5"/>
        <v>3.7650253983416669E-2</v>
      </c>
      <c r="BO18">
        <f t="shared" si="5"/>
        <v>-6.3391010536583331E-2</v>
      </c>
      <c r="BP18">
        <f t="shared" si="5"/>
        <v>-7.1044344066583331E-2</v>
      </c>
      <c r="BQ18">
        <f t="shared" si="5"/>
        <v>7.5450705893416667E-2</v>
      </c>
      <c r="BR18">
        <f t="shared" si="5"/>
        <v>-4.1971632326583332E-2</v>
      </c>
      <c r="BS18">
        <f t="shared" si="6"/>
        <v>3.5478044424166674E-3</v>
      </c>
      <c r="BT18">
        <f t="shared" si="6"/>
        <v>-0.15373885227658332</v>
      </c>
      <c r="BU18">
        <f t="shared" si="6"/>
        <v>3.453281096341667E-2</v>
      </c>
      <c r="BV18">
        <f t="shared" si="6"/>
        <v>-4.4605965286583331E-2</v>
      </c>
      <c r="BW18" t="s">
        <v>96</v>
      </c>
      <c r="BX18">
        <v>0</v>
      </c>
      <c r="BY18">
        <f>SUMPRODUCT(BC$2:BC$31,$BX$2:$BX$31)</f>
        <v>-8.5151345181289657E-3</v>
      </c>
      <c r="CA18">
        <v>10341139.449999999</v>
      </c>
    </row>
    <row r="19" spans="1:81" ht="15" thickBot="1" x14ac:dyDescent="0.35">
      <c r="A19" s="8" t="s">
        <v>98</v>
      </c>
      <c r="B19" s="3">
        <v>-6.0436320750000001E-2</v>
      </c>
      <c r="C19" s="3">
        <v>-0.1296935467</v>
      </c>
      <c r="D19" s="3">
        <v>1.8387213079999999E-2</v>
      </c>
      <c r="E19" s="3">
        <v>-2.3955628980000001E-2</v>
      </c>
      <c r="F19" s="3">
        <v>-4.6669084749999999E-2</v>
      </c>
      <c r="G19" s="3">
        <v>-1.9530754599999998E-2</v>
      </c>
      <c r="H19" s="3">
        <v>5.2645194669999999E-2</v>
      </c>
      <c r="I19" s="3">
        <v>-3.4775129019999997E-2</v>
      </c>
      <c r="J19" s="3">
        <v>1.553150859E-2</v>
      </c>
      <c r="K19" s="3">
        <v>-2.9585057040000001E-2</v>
      </c>
      <c r="L19" s="3">
        <v>-5.6323472419999999E-2</v>
      </c>
      <c r="M19" s="3">
        <v>5.407255305E-2</v>
      </c>
      <c r="N19" s="3">
        <v>4.8441558439999997E-2</v>
      </c>
      <c r="O19" s="3">
        <v>-3.5922209839999997E-2</v>
      </c>
      <c r="P19" s="3">
        <v>4.0858280869999999E-2</v>
      </c>
      <c r="Q19" s="3">
        <v>8.2705838789999993E-3</v>
      </c>
      <c r="R19" s="3">
        <v>-5.7541625860000004E-3</v>
      </c>
      <c r="S19" s="3">
        <v>-5.9721709150000003E-2</v>
      </c>
      <c r="T19" s="3">
        <v>8.1849135670000003E-2</v>
      </c>
      <c r="U19" s="3">
        <v>0.1410240891</v>
      </c>
      <c r="V19" s="3">
        <v>1.453426692E-2</v>
      </c>
      <c r="W19" s="3">
        <v>8.4596883819999996E-2</v>
      </c>
      <c r="X19" s="3">
        <v>-7.4238333980000001E-2</v>
      </c>
      <c r="Y19" s="3">
        <v>-3.686731931E-2</v>
      </c>
      <c r="Z19" s="3">
        <v>-5.233564014E-2</v>
      </c>
      <c r="AA19" s="3">
        <v>0.17492012779999999</v>
      </c>
      <c r="AB19" s="3">
        <v>1.388754006E-2</v>
      </c>
      <c r="AC19" s="3">
        <v>3.141762452E-2</v>
      </c>
      <c r="AD19" s="3">
        <v>5.6649331350000004E-3</v>
      </c>
      <c r="AE19" s="3">
        <v>1.9115338440000001E-2</v>
      </c>
      <c r="AF19" s="3">
        <v>4.7209133739999999E-2</v>
      </c>
      <c r="AG19" s="3">
        <v>4.4734792769999997E-2</v>
      </c>
      <c r="AH19" s="3">
        <v>3.3294682790000002E-2</v>
      </c>
      <c r="AI19" s="3">
        <v>-0.10981083680000001</v>
      </c>
      <c r="AJ19" s="3">
        <v>-5.5465514139999998E-2</v>
      </c>
      <c r="AK19" s="3">
        <v>-8.1410867489999997E-2</v>
      </c>
      <c r="AL19">
        <f t="shared" si="3"/>
        <v>4.988848235555547E-4</v>
      </c>
      <c r="AM19">
        <f t="shared" si="4"/>
        <v>-6.0935205573555556E-2</v>
      </c>
      <c r="AN19">
        <f t="shared" si="4"/>
        <v>-0.13019243152355556</v>
      </c>
      <c r="AO19">
        <f t="shared" si="4"/>
        <v>1.7888328256444444E-2</v>
      </c>
      <c r="AP19">
        <f t="shared" si="4"/>
        <v>-2.4454513803555556E-2</v>
      </c>
      <c r="AQ19">
        <f t="shared" si="4"/>
        <v>-4.7167969573555554E-2</v>
      </c>
      <c r="AR19">
        <f t="shared" si="4"/>
        <v>-2.0029639423555554E-2</v>
      </c>
      <c r="AS19">
        <f t="shared" si="4"/>
        <v>5.2146309846444444E-2</v>
      </c>
      <c r="AT19">
        <f t="shared" si="4"/>
        <v>-3.5274013843555552E-2</v>
      </c>
      <c r="AU19">
        <f t="shared" si="4"/>
        <v>1.5032623766444445E-2</v>
      </c>
      <c r="AV19">
        <f t="shared" si="4"/>
        <v>-3.0083941863555556E-2</v>
      </c>
      <c r="AW19">
        <f t="shared" si="4"/>
        <v>-5.6822357243555555E-2</v>
      </c>
      <c r="AX19">
        <f t="shared" si="4"/>
        <v>5.3573668226444444E-2</v>
      </c>
      <c r="AY19">
        <f t="shared" si="4"/>
        <v>4.7942673616444442E-2</v>
      </c>
      <c r="AZ19">
        <f t="shared" si="4"/>
        <v>-3.6421094663555552E-2</v>
      </c>
      <c r="BA19">
        <f t="shared" si="4"/>
        <v>4.0359396046444444E-2</v>
      </c>
      <c r="BB19">
        <f t="shared" si="4"/>
        <v>7.7716990554444441E-3</v>
      </c>
      <c r="BC19">
        <f t="shared" si="5"/>
        <v>-6.2530474095555556E-3</v>
      </c>
      <c r="BD19">
        <f t="shared" si="5"/>
        <v>-6.0220593973555558E-2</v>
      </c>
      <c r="BE19">
        <f t="shared" si="5"/>
        <v>8.1350250846444455E-2</v>
      </c>
      <c r="BF19">
        <f t="shared" si="5"/>
        <v>0.14052520427644444</v>
      </c>
      <c r="BG19">
        <f t="shared" si="5"/>
        <v>1.4035382096444445E-2</v>
      </c>
      <c r="BH19">
        <f t="shared" si="5"/>
        <v>8.4097998996444448E-2</v>
      </c>
      <c r="BI19">
        <f t="shared" si="5"/>
        <v>-7.473721880355555E-2</v>
      </c>
      <c r="BJ19">
        <f t="shared" si="5"/>
        <v>-3.7366204133555556E-2</v>
      </c>
      <c r="BK19">
        <f t="shared" si="5"/>
        <v>-5.2834524963555556E-2</v>
      </c>
      <c r="BL19">
        <f t="shared" si="5"/>
        <v>0.17442124297644443</v>
      </c>
      <c r="BM19">
        <f t="shared" si="5"/>
        <v>1.3388655236444445E-2</v>
      </c>
      <c r="BN19">
        <f t="shared" si="5"/>
        <v>3.0918739696444444E-2</v>
      </c>
      <c r="BO19">
        <f t="shared" si="5"/>
        <v>5.1660483114444461E-3</v>
      </c>
      <c r="BP19">
        <f t="shared" si="5"/>
        <v>1.8616453616444446E-2</v>
      </c>
      <c r="BQ19">
        <f t="shared" si="5"/>
        <v>4.6710248916444444E-2</v>
      </c>
      <c r="BR19">
        <f t="shared" si="5"/>
        <v>4.4235907946444442E-2</v>
      </c>
      <c r="BS19">
        <f t="shared" si="6"/>
        <v>3.2795797966444447E-2</v>
      </c>
      <c r="BT19">
        <f t="shared" si="6"/>
        <v>-0.11030972162355555</v>
      </c>
      <c r="BU19">
        <f t="shared" si="6"/>
        <v>-5.5964398963555553E-2</v>
      </c>
      <c r="BV19">
        <f t="shared" si="6"/>
        <v>-8.1909752313555545E-2</v>
      </c>
      <c r="BW19" t="s">
        <v>96</v>
      </c>
      <c r="BX19">
        <v>0</v>
      </c>
      <c r="BY19">
        <f>SUMPRODUCT(BD$2:BD$31,$BX$2:$BX$31)</f>
        <v>-3.3318605322996644E-2</v>
      </c>
      <c r="CA19">
        <v>33843104.289999999</v>
      </c>
    </row>
    <row r="20" spans="1:81" ht="15" thickBot="1" x14ac:dyDescent="0.35">
      <c r="A20" s="8" t="s">
        <v>99</v>
      </c>
      <c r="B20" s="3">
        <v>-3.5672921009999997E-2</v>
      </c>
      <c r="C20" s="3">
        <v>-6.4857074230000006E-2</v>
      </c>
      <c r="D20" s="3">
        <v>-2.553300796E-2</v>
      </c>
      <c r="E20" s="3">
        <v>-9.9641501479999992E-3</v>
      </c>
      <c r="F20" s="3">
        <v>-7.0291282819999997E-3</v>
      </c>
      <c r="G20" s="3">
        <v>0.11669437439999999</v>
      </c>
      <c r="H20" s="3">
        <v>7.6501944959999998E-2</v>
      </c>
      <c r="I20" s="3">
        <v>-7.2715917199999994E-2</v>
      </c>
      <c r="J20" s="3">
        <v>7.9765226590000002E-2</v>
      </c>
      <c r="K20" s="3">
        <v>-3.9743361249999998E-2</v>
      </c>
      <c r="L20" s="3">
        <v>7.0991091310000001E-3</v>
      </c>
      <c r="M20" s="3">
        <v>-1.9488597100000001E-2</v>
      </c>
      <c r="N20" s="3">
        <v>7.6120665350000005E-2</v>
      </c>
      <c r="O20" s="3">
        <v>3.7420312640000002E-2</v>
      </c>
      <c r="P20" s="3">
        <v>-5.997727177E-2</v>
      </c>
      <c r="Q20" s="3">
        <v>4.965523417E-2</v>
      </c>
      <c r="R20" s="3">
        <v>5.3448790679999997E-2</v>
      </c>
      <c r="S20" s="3">
        <v>3.3365727239999997E-2</v>
      </c>
      <c r="T20" s="3">
        <v>5.086206897E-2</v>
      </c>
      <c r="U20" s="3">
        <v>9.3370124540000002E-2</v>
      </c>
      <c r="V20" s="3">
        <v>7.4960780300000002E-2</v>
      </c>
      <c r="W20" s="3">
        <v>5.5742385790000001E-2</v>
      </c>
      <c r="X20" s="3">
        <v>-7.2302190700000005E-2</v>
      </c>
      <c r="Y20" s="3">
        <v>-0.1146383337</v>
      </c>
      <c r="Z20" s="3">
        <v>-3.1099077999999999E-2</v>
      </c>
      <c r="AA20" s="3">
        <v>0.1023336606</v>
      </c>
      <c r="AB20" s="3">
        <v>0.1253768156</v>
      </c>
      <c r="AC20" s="3">
        <v>6.736271764E-2</v>
      </c>
      <c r="AD20" s="3">
        <v>2.4440325110000001E-2</v>
      </c>
      <c r="AE20" s="3">
        <v>-1.673069428E-2</v>
      </c>
      <c r="AF20" s="3">
        <v>4.643130149E-2</v>
      </c>
      <c r="AG20" s="3">
        <v>3.752604096E-2</v>
      </c>
      <c r="AH20" s="3">
        <v>-0.1001095233</v>
      </c>
      <c r="AI20" s="3">
        <v>-8.7165666929999996E-2</v>
      </c>
      <c r="AJ20" s="3">
        <v>1.1079013360000001E-2</v>
      </c>
      <c r="AK20" s="3">
        <v>-8.9795918369999991E-3</v>
      </c>
      <c r="AL20">
        <f t="shared" si="3"/>
        <v>1.2598614217333336E-2</v>
      </c>
      <c r="AM20">
        <f t="shared" si="4"/>
        <v>-4.8271535227333337E-2</v>
      </c>
      <c r="AN20">
        <f t="shared" si="4"/>
        <v>-7.7455688447333346E-2</v>
      </c>
      <c r="AO20">
        <f t="shared" si="4"/>
        <v>-3.8131622177333332E-2</v>
      </c>
      <c r="AP20">
        <f t="shared" si="4"/>
        <v>-2.2562764365333336E-2</v>
      </c>
      <c r="AQ20">
        <f t="shared" si="4"/>
        <v>-1.9627742499333335E-2</v>
      </c>
      <c r="AR20">
        <f t="shared" si="4"/>
        <v>0.10409576018266666</v>
      </c>
      <c r="AS20">
        <f t="shared" si="4"/>
        <v>6.3903330742666659E-2</v>
      </c>
      <c r="AT20">
        <f t="shared" si="4"/>
        <v>-8.5314531417333334E-2</v>
      </c>
      <c r="AU20">
        <f t="shared" si="4"/>
        <v>6.7166612372666662E-2</v>
      </c>
      <c r="AV20">
        <f t="shared" si="4"/>
        <v>-5.2341975467333338E-2</v>
      </c>
      <c r="AW20">
        <f t="shared" si="4"/>
        <v>-5.4995050863333363E-3</v>
      </c>
      <c r="AX20">
        <f t="shared" si="4"/>
        <v>-3.2087211317333338E-2</v>
      </c>
      <c r="AY20">
        <f t="shared" si="4"/>
        <v>6.3522051132666665E-2</v>
      </c>
      <c r="AZ20">
        <f t="shared" si="4"/>
        <v>2.4821698422666665E-2</v>
      </c>
      <c r="BA20">
        <f t="shared" si="4"/>
        <v>-7.2575885987333333E-2</v>
      </c>
      <c r="BB20">
        <f t="shared" si="4"/>
        <v>3.7056619952666667E-2</v>
      </c>
      <c r="BC20">
        <f t="shared" si="5"/>
        <v>4.0850176462666657E-2</v>
      </c>
      <c r="BD20">
        <f t="shared" si="5"/>
        <v>2.076711302266666E-2</v>
      </c>
      <c r="BE20">
        <f t="shared" si="5"/>
        <v>3.8263454752666667E-2</v>
      </c>
      <c r="BF20">
        <f t="shared" si="5"/>
        <v>8.0771510322666662E-2</v>
      </c>
      <c r="BG20">
        <f t="shared" si="5"/>
        <v>6.2362166082666662E-2</v>
      </c>
      <c r="BH20">
        <f t="shared" si="5"/>
        <v>4.3143771572666662E-2</v>
      </c>
      <c r="BI20">
        <f t="shared" si="5"/>
        <v>-8.4900804917333345E-2</v>
      </c>
      <c r="BJ20">
        <f t="shared" si="5"/>
        <v>-0.12723694791733334</v>
      </c>
      <c r="BK20">
        <f t="shared" si="5"/>
        <v>-4.3697692217333335E-2</v>
      </c>
      <c r="BL20">
        <f t="shared" si="5"/>
        <v>8.9735046382666661E-2</v>
      </c>
      <c r="BM20">
        <f t="shared" si="5"/>
        <v>0.11277820138266666</v>
      </c>
      <c r="BN20">
        <f t="shared" si="5"/>
        <v>5.476410342266666E-2</v>
      </c>
      <c r="BO20">
        <f t="shared" si="5"/>
        <v>1.1841710892666665E-2</v>
      </c>
      <c r="BP20">
        <f t="shared" si="5"/>
        <v>-2.9329308497333336E-2</v>
      </c>
      <c r="BQ20">
        <f t="shared" si="5"/>
        <v>3.3832687272666667E-2</v>
      </c>
      <c r="BR20">
        <f t="shared" si="5"/>
        <v>2.4927426742666663E-2</v>
      </c>
      <c r="BS20">
        <f t="shared" si="6"/>
        <v>-0.11270813751733334</v>
      </c>
      <c r="BT20">
        <f t="shared" si="6"/>
        <v>-9.9764281147333336E-2</v>
      </c>
      <c r="BU20">
        <f t="shared" si="6"/>
        <v>-1.5196008573333357E-3</v>
      </c>
      <c r="BV20">
        <f t="shared" si="6"/>
        <v>-2.1578206054333336E-2</v>
      </c>
      <c r="BW20" t="s">
        <v>96</v>
      </c>
      <c r="BX20">
        <v>8.2111029856018369E-2</v>
      </c>
      <c r="BY20">
        <f>SUMPRODUCT(BE$2:BE$31,$BX$2:$BX$31)</f>
        <v>2.7768187048037456E-2</v>
      </c>
      <c r="CA20">
        <v>13954542.1</v>
      </c>
    </row>
    <row r="21" spans="1:81" ht="15" thickBot="1" x14ac:dyDescent="0.35">
      <c r="A21" s="8" t="s">
        <v>100</v>
      </c>
      <c r="B21" s="3">
        <v>-0.1209638255</v>
      </c>
      <c r="C21" s="3">
        <v>-6.541363989E-2</v>
      </c>
      <c r="D21" s="3">
        <v>0.1899910702</v>
      </c>
      <c r="E21" s="3">
        <v>-1.8823653749999999E-2</v>
      </c>
      <c r="F21" s="3">
        <v>-3.9608333150000001E-2</v>
      </c>
      <c r="G21" s="3">
        <v>6.325919445E-2</v>
      </c>
      <c r="H21" s="3">
        <v>2.0823443779999999E-2</v>
      </c>
      <c r="I21" s="3">
        <v>-9.7787560319999994E-2</v>
      </c>
      <c r="J21" s="3">
        <v>7.2158336009999998E-4</v>
      </c>
      <c r="K21" s="3">
        <v>8.0919298170000001E-2</v>
      </c>
      <c r="L21" s="3">
        <v>7.9626433430000001E-3</v>
      </c>
      <c r="M21" s="3">
        <v>-7.1475843809999995E-2</v>
      </c>
      <c r="N21" s="3">
        <v>0.1310004639</v>
      </c>
      <c r="O21" s="3">
        <v>3.9772727270000002E-2</v>
      </c>
      <c r="P21" s="3">
        <v>-5.8791272220000003E-2</v>
      </c>
      <c r="Q21" s="3">
        <v>6.1686751909999997E-2</v>
      </c>
      <c r="R21" s="3">
        <v>3.167481804E-3</v>
      </c>
      <c r="S21" s="3">
        <v>-2.8686046619999999E-2</v>
      </c>
      <c r="T21" s="3">
        <v>9.4122994230000007E-2</v>
      </c>
      <c r="U21" s="3">
        <v>0.1369498076</v>
      </c>
      <c r="V21" s="3">
        <v>-0.13445698540000001</v>
      </c>
      <c r="W21" s="3">
        <v>-2.710812969E-2</v>
      </c>
      <c r="X21" s="3">
        <v>-6.8375826520000002E-2</v>
      </c>
      <c r="Y21" s="3">
        <v>-4.6978778550000003E-2</v>
      </c>
      <c r="Z21" s="3">
        <v>-9.5614482409999996E-4</v>
      </c>
      <c r="AA21" s="3">
        <v>0.14529232859999999</v>
      </c>
      <c r="AB21" s="3">
        <v>5.0714478049999998E-2</v>
      </c>
      <c r="AC21" s="3">
        <v>8.7996960139999997E-2</v>
      </c>
      <c r="AD21" s="3">
        <v>1.434361319E-2</v>
      </c>
      <c r="AE21" s="3">
        <v>-8.5437235259999994E-2</v>
      </c>
      <c r="AF21" s="3">
        <v>8.0819842929999997E-2</v>
      </c>
      <c r="AG21" s="3">
        <v>-9.5019765409999998E-2</v>
      </c>
      <c r="AH21" s="3">
        <v>5.8764030859999997E-2</v>
      </c>
      <c r="AI21" s="3">
        <v>-0.21105315220000001</v>
      </c>
      <c r="AJ21" s="3">
        <v>-3.7420032360000001E-2</v>
      </c>
      <c r="AK21" s="3">
        <v>1.547418927E-3</v>
      </c>
      <c r="AL21">
        <f t="shared" si="3"/>
        <v>1.708330756666663E-3</v>
      </c>
      <c r="AM21">
        <f t="shared" si="4"/>
        <v>-0.12267215625666666</v>
      </c>
      <c r="AN21">
        <f t="shared" si="4"/>
        <v>-6.7121970646666668E-2</v>
      </c>
      <c r="AO21">
        <f t="shared" si="4"/>
        <v>0.18828273944333335</v>
      </c>
      <c r="AP21">
        <f t="shared" si="4"/>
        <v>-2.0531984506666663E-2</v>
      </c>
      <c r="AQ21">
        <f t="shared" si="4"/>
        <v>-4.1316663906666662E-2</v>
      </c>
      <c r="AR21">
        <f t="shared" si="4"/>
        <v>6.1550863693333339E-2</v>
      </c>
      <c r="AS21">
        <f t="shared" si="4"/>
        <v>1.9115113023333335E-2</v>
      </c>
      <c r="AT21">
        <f t="shared" si="4"/>
        <v>-9.9495891076666662E-2</v>
      </c>
      <c r="AU21">
        <f t="shared" si="4"/>
        <v>-9.8674739656666303E-4</v>
      </c>
      <c r="AV21">
        <f t="shared" si="4"/>
        <v>7.9210967413333333E-2</v>
      </c>
      <c r="AW21">
        <f t="shared" si="4"/>
        <v>6.2543125863333375E-3</v>
      </c>
      <c r="AX21">
        <f t="shared" si="4"/>
        <v>-7.3184174566666663E-2</v>
      </c>
      <c r="AY21">
        <f t="shared" si="4"/>
        <v>0.12929213314333335</v>
      </c>
      <c r="AZ21">
        <f t="shared" si="4"/>
        <v>3.8064396513333341E-2</v>
      </c>
      <c r="BA21">
        <f t="shared" si="4"/>
        <v>-6.0499602976666664E-2</v>
      </c>
      <c r="BB21">
        <f t="shared" si="4"/>
        <v>5.9978421153333336E-2</v>
      </c>
      <c r="BC21">
        <f t="shared" si="5"/>
        <v>1.459151047333337E-3</v>
      </c>
      <c r="BD21">
        <f t="shared" si="5"/>
        <v>-3.0394377376666663E-2</v>
      </c>
      <c r="BE21">
        <f t="shared" si="5"/>
        <v>9.2414663473333339E-2</v>
      </c>
      <c r="BF21">
        <f t="shared" si="5"/>
        <v>0.13524147684333335</v>
      </c>
      <c r="BG21">
        <f t="shared" si="5"/>
        <v>-0.13616531615666666</v>
      </c>
      <c r="BH21">
        <f t="shared" si="5"/>
        <v>-2.8816460446666664E-2</v>
      </c>
      <c r="BI21">
        <f t="shared" si="5"/>
        <v>-7.008415727666667E-2</v>
      </c>
      <c r="BJ21">
        <f t="shared" si="5"/>
        <v>-4.8687109306666664E-2</v>
      </c>
      <c r="BK21">
        <f t="shared" si="5"/>
        <v>-2.664475580766663E-3</v>
      </c>
      <c r="BL21">
        <f t="shared" si="5"/>
        <v>0.14358399784333334</v>
      </c>
      <c r="BM21">
        <f t="shared" si="5"/>
        <v>4.9006147293333337E-2</v>
      </c>
      <c r="BN21">
        <f t="shared" si="5"/>
        <v>8.6288629383333329E-2</v>
      </c>
      <c r="BO21">
        <f t="shared" si="5"/>
        <v>1.2635282433333337E-2</v>
      </c>
      <c r="BP21">
        <f t="shared" si="5"/>
        <v>-8.7145566016666662E-2</v>
      </c>
      <c r="BQ21">
        <f t="shared" si="5"/>
        <v>7.9111512173333329E-2</v>
      </c>
      <c r="BR21">
        <f t="shared" si="5"/>
        <v>-9.6728096166666666E-2</v>
      </c>
      <c r="BS21">
        <f t="shared" si="6"/>
        <v>5.7055700103333336E-2</v>
      </c>
      <c r="BT21">
        <f t="shared" si="6"/>
        <v>-0.21276148295666666</v>
      </c>
      <c r="BU21">
        <f t="shared" si="6"/>
        <v>-3.9128363116666662E-2</v>
      </c>
      <c r="BV21">
        <f t="shared" si="6"/>
        <v>-1.6091182966666297E-4</v>
      </c>
      <c r="BW21" t="s">
        <v>96</v>
      </c>
      <c r="BX21">
        <v>0</v>
      </c>
      <c r="BY21">
        <f>SUMPRODUCT(Dev_M20,$BX$2:$BX$31)</f>
        <v>5.0664583641936822E-2</v>
      </c>
      <c r="CA21">
        <v>2175255.6209999998</v>
      </c>
    </row>
    <row r="22" spans="1:81" ht="15" thickBot="1" x14ac:dyDescent="0.35">
      <c r="A22" s="13" t="s">
        <v>101</v>
      </c>
      <c r="B22" s="3">
        <v>-7.3278414900000005E-2</v>
      </c>
      <c r="C22" s="3">
        <v>-3.4859400419999999E-2</v>
      </c>
      <c r="D22" s="3">
        <v>0.13556465209999999</v>
      </c>
      <c r="E22" s="3">
        <v>-5.3170059370000002E-2</v>
      </c>
      <c r="F22" s="3">
        <v>6.225855215E-2</v>
      </c>
      <c r="G22" s="3">
        <v>7.1944341960000005E-2</v>
      </c>
      <c r="H22" s="3">
        <v>2.8665552170000001E-2</v>
      </c>
      <c r="I22" s="3">
        <v>-4.2684384110000001E-2</v>
      </c>
      <c r="J22" s="3">
        <v>3.3053724790000003E-2</v>
      </c>
      <c r="K22" s="3">
        <v>-7.5302078300000005E-2</v>
      </c>
      <c r="L22" s="3">
        <v>2.7702278899999998E-2</v>
      </c>
      <c r="M22" s="3">
        <v>4.6282168649999997E-3</v>
      </c>
      <c r="N22" s="3">
        <v>-1.245380449E-2</v>
      </c>
      <c r="O22" s="3">
        <v>7.8177064640000002E-2</v>
      </c>
      <c r="P22" s="3">
        <v>8.7295549639999998E-2</v>
      </c>
      <c r="Q22" s="3">
        <v>-2.7811789399999998E-2</v>
      </c>
      <c r="R22" s="3">
        <v>4.2326376390000003E-2</v>
      </c>
      <c r="S22" s="3">
        <v>-6.0458291980000002E-2</v>
      </c>
      <c r="T22" s="3">
        <v>0.126079368</v>
      </c>
      <c r="U22" s="3">
        <v>2.7409552560000001E-2</v>
      </c>
      <c r="V22" s="3">
        <v>0.1262455834</v>
      </c>
      <c r="W22" s="3">
        <v>0.1124466848</v>
      </c>
      <c r="X22" s="3">
        <v>2.6997053140000001E-2</v>
      </c>
      <c r="Y22" s="3">
        <v>-7.3092468610000003E-2</v>
      </c>
      <c r="Z22" s="3">
        <v>-2.8160575189999999E-2</v>
      </c>
      <c r="AA22" s="3">
        <v>4.1820797370000003E-2</v>
      </c>
      <c r="AB22" s="3">
        <v>0.13051911760000001</v>
      </c>
      <c r="AC22" s="3">
        <v>5.9499229360000003E-2</v>
      </c>
      <c r="AD22" s="3">
        <v>5.7667499249999997E-2</v>
      </c>
      <c r="AE22" s="3">
        <v>-4.0379924220000002E-2</v>
      </c>
      <c r="AF22" s="3">
        <v>-3.6778625129999999E-2</v>
      </c>
      <c r="AG22" s="3">
        <v>5.9211634569999998E-2</v>
      </c>
      <c r="AH22" s="3">
        <v>-7.5489702340000006E-2</v>
      </c>
      <c r="AI22" s="3">
        <v>-8.6413027899999995E-2</v>
      </c>
      <c r="AJ22" s="3">
        <v>8.8780793969999994E-2</v>
      </c>
      <c r="AK22" s="3">
        <v>3.0379892780000001E-2</v>
      </c>
      <c r="AL22">
        <f t="shared" si="3"/>
        <v>2.0509471390138888E-2</v>
      </c>
      <c r="AM22">
        <f t="shared" si="4"/>
        <v>-9.37878862901389E-2</v>
      </c>
      <c r="AN22">
        <f t="shared" si="4"/>
        <v>-5.5368871810138887E-2</v>
      </c>
      <c r="AO22">
        <f t="shared" si="4"/>
        <v>0.11505518070986109</v>
      </c>
      <c r="AP22">
        <f t="shared" si="4"/>
        <v>-7.3679530760138889E-2</v>
      </c>
      <c r="AQ22">
        <f t="shared" si="4"/>
        <v>4.1749080759861112E-2</v>
      </c>
      <c r="AR22">
        <f t="shared" si="4"/>
        <v>5.1434870569861117E-2</v>
      </c>
      <c r="AS22">
        <f t="shared" si="4"/>
        <v>8.1560807798611128E-3</v>
      </c>
      <c r="AT22">
        <f t="shared" si="4"/>
        <v>-6.3193855500138896E-2</v>
      </c>
      <c r="AU22">
        <f t="shared" si="4"/>
        <v>1.2544253399861115E-2</v>
      </c>
      <c r="AV22">
        <f t="shared" si="4"/>
        <v>-9.5811549690138886E-2</v>
      </c>
      <c r="AW22">
        <f t="shared" si="4"/>
        <v>7.1928075098611106E-3</v>
      </c>
      <c r="AX22">
        <f t="shared" si="4"/>
        <v>-1.5881254525138888E-2</v>
      </c>
      <c r="AY22">
        <f t="shared" si="4"/>
        <v>-3.2963275880138886E-2</v>
      </c>
      <c r="AZ22">
        <f t="shared" si="4"/>
        <v>5.7667593249861114E-2</v>
      </c>
      <c r="BA22">
        <f t="shared" si="4"/>
        <v>6.6786078249861103E-2</v>
      </c>
      <c r="BB22">
        <f t="shared" si="4"/>
        <v>-4.832126079013889E-2</v>
      </c>
      <c r="BC22">
        <f t="shared" si="5"/>
        <v>2.1816904999861116E-2</v>
      </c>
      <c r="BD22">
        <f t="shared" si="5"/>
        <v>-8.096776337013889E-2</v>
      </c>
      <c r="BE22">
        <f t="shared" si="5"/>
        <v>0.1055698966098611</v>
      </c>
      <c r="BF22">
        <f t="shared" si="5"/>
        <v>6.9000811698611136E-3</v>
      </c>
      <c r="BG22">
        <f t="shared" si="5"/>
        <v>0.10573611200986111</v>
      </c>
      <c r="BH22">
        <f t="shared" si="5"/>
        <v>9.1937213409861107E-2</v>
      </c>
      <c r="BI22">
        <f t="shared" si="5"/>
        <v>6.4875817498611134E-3</v>
      </c>
      <c r="BJ22">
        <f t="shared" si="5"/>
        <v>-9.3601940000138883E-2</v>
      </c>
      <c r="BK22">
        <f t="shared" si="5"/>
        <v>-4.867004658013889E-2</v>
      </c>
      <c r="BL22">
        <f t="shared" si="5"/>
        <v>2.1311325979861115E-2</v>
      </c>
      <c r="BM22">
        <f t="shared" si="5"/>
        <v>0.11000964620986112</v>
      </c>
      <c r="BN22">
        <f t="shared" si="5"/>
        <v>3.8989757969861115E-2</v>
      </c>
      <c r="BO22">
        <f t="shared" si="5"/>
        <v>3.7158027859861109E-2</v>
      </c>
      <c r="BP22">
        <f t="shared" si="5"/>
        <v>-6.088939561013889E-2</v>
      </c>
      <c r="BQ22">
        <f t="shared" si="5"/>
        <v>-5.7288096520138887E-2</v>
      </c>
      <c r="BR22">
        <f t="shared" si="5"/>
        <v>3.870216317986111E-2</v>
      </c>
      <c r="BS22">
        <f t="shared" si="6"/>
        <v>-9.5999173730138887E-2</v>
      </c>
      <c r="BT22">
        <f t="shared" si="6"/>
        <v>-0.10692249929013889</v>
      </c>
      <c r="BU22">
        <f t="shared" si="6"/>
        <v>6.8271322579861099E-2</v>
      </c>
      <c r="BV22">
        <f t="shared" si="6"/>
        <v>9.8704213898611129E-3</v>
      </c>
      <c r="BW22" t="s">
        <v>102</v>
      </c>
      <c r="BX22">
        <v>0</v>
      </c>
      <c r="BY22">
        <f>SUMPRODUCT(Dev_M21,$BX$2:$BX$31)</f>
        <v>-1.6547337890937163E-2</v>
      </c>
      <c r="CA22">
        <v>11394625.539999999</v>
      </c>
    </row>
    <row r="23" spans="1:81" ht="15" thickBot="1" x14ac:dyDescent="0.35">
      <c r="A23" s="13" t="s">
        <v>103</v>
      </c>
      <c r="B23" s="3">
        <v>5.7527317610000003E-2</v>
      </c>
      <c r="C23" s="3">
        <v>5.5267584359999997E-3</v>
      </c>
      <c r="D23" s="3">
        <v>-6.9063225450000001E-2</v>
      </c>
      <c r="E23" s="3">
        <v>3.7820724389999998E-2</v>
      </c>
      <c r="F23" s="3">
        <v>2.1354283219999999E-2</v>
      </c>
      <c r="G23" s="3">
        <v>2.2603039879999998E-2</v>
      </c>
      <c r="H23" s="3">
        <v>1.205539391E-2</v>
      </c>
      <c r="I23" s="3">
        <v>-5.5625508400000002E-2</v>
      </c>
      <c r="J23" s="3">
        <v>2.0436337030000001E-2</v>
      </c>
      <c r="K23" s="3">
        <v>-1.7460078860000001E-3</v>
      </c>
      <c r="L23" s="3">
        <v>7.0923875270000006E-2</v>
      </c>
      <c r="M23" s="3">
        <v>6.6432318429999998E-2</v>
      </c>
      <c r="N23" s="3">
        <v>-8.698033409E-2</v>
      </c>
      <c r="O23" s="3">
        <v>0.14631030540000001</v>
      </c>
      <c r="P23" s="3">
        <v>9.3195208929999995E-2</v>
      </c>
      <c r="Q23" s="3">
        <v>-5.779680699E-3</v>
      </c>
      <c r="R23" s="3">
        <v>-3.7180024430000002E-3</v>
      </c>
      <c r="S23" s="3">
        <v>-3.9278682660000001E-2</v>
      </c>
      <c r="T23" s="3">
        <v>7.835977308E-2</v>
      </c>
      <c r="U23" s="3">
        <v>1.6844760419999999E-3</v>
      </c>
      <c r="V23" s="3">
        <v>5.5752945030000001E-2</v>
      </c>
      <c r="W23" s="3">
        <v>4.9516839159999999E-2</v>
      </c>
      <c r="X23" s="3">
        <v>-4.146009262E-2</v>
      </c>
      <c r="Y23" s="3">
        <v>7.5350362950000003E-3</v>
      </c>
      <c r="Z23" s="3">
        <v>-6.647808778E-2</v>
      </c>
      <c r="AA23" s="3">
        <v>0.1054067353</v>
      </c>
      <c r="AB23" s="3">
        <v>5.4378470409999997E-2</v>
      </c>
      <c r="AC23" s="3">
        <v>4.1604325609999999E-2</v>
      </c>
      <c r="AD23" s="3">
        <v>-3.9786100820000003E-2</v>
      </c>
      <c r="AE23" s="3">
        <v>-5.637182298E-2</v>
      </c>
      <c r="AF23" s="3">
        <v>-5.6427562389999998E-2</v>
      </c>
      <c r="AG23" s="3">
        <v>0.1548698328</v>
      </c>
      <c r="AH23" s="3">
        <v>-0.1232625135</v>
      </c>
      <c r="AI23" s="3">
        <v>-8.2843882199999996E-2</v>
      </c>
      <c r="AJ23" s="3">
        <v>2.4809673090000001E-2</v>
      </c>
      <c r="AK23" s="3">
        <v>2.6743576299999999E-2</v>
      </c>
      <c r="AL23">
        <f t="shared" si="3"/>
        <v>1.1834048380694445E-2</v>
      </c>
      <c r="AM23">
        <f t="shared" si="4"/>
        <v>4.5693269229305555E-2</v>
      </c>
      <c r="AN23">
        <f t="shared" si="4"/>
        <v>-6.3072899446944448E-3</v>
      </c>
      <c r="AO23">
        <f t="shared" si="4"/>
        <v>-8.0897273830694449E-2</v>
      </c>
      <c r="AP23">
        <f t="shared" si="4"/>
        <v>2.5986676009305553E-2</v>
      </c>
      <c r="AQ23">
        <f t="shared" si="4"/>
        <v>9.5202348393055546E-3</v>
      </c>
      <c r="AR23">
        <f t="shared" si="4"/>
        <v>1.0768991499305554E-2</v>
      </c>
      <c r="AS23">
        <f t="shared" si="4"/>
        <v>2.2134552930555551E-4</v>
      </c>
      <c r="AT23">
        <f t="shared" si="4"/>
        <v>-6.7459556780694444E-2</v>
      </c>
      <c r="AU23">
        <f t="shared" si="4"/>
        <v>8.6022886493055568E-3</v>
      </c>
      <c r="AV23">
        <f t="shared" si="4"/>
        <v>-1.3580056266694444E-2</v>
      </c>
      <c r="AW23">
        <f t="shared" si="4"/>
        <v>5.9089826889305558E-2</v>
      </c>
      <c r="AX23">
        <f t="shared" si="4"/>
        <v>5.459827004930555E-2</v>
      </c>
      <c r="AY23">
        <f t="shared" si="4"/>
        <v>-9.8814382470694448E-2</v>
      </c>
      <c r="AZ23">
        <f t="shared" si="4"/>
        <v>0.13447625701930557</v>
      </c>
      <c r="BA23">
        <f t="shared" si="4"/>
        <v>8.1361160549305547E-2</v>
      </c>
      <c r="BB23">
        <f t="shared" si="4"/>
        <v>-1.7613729079694444E-2</v>
      </c>
      <c r="BC23">
        <f t="shared" si="5"/>
        <v>-1.5552050823694444E-2</v>
      </c>
      <c r="BD23">
        <f t="shared" si="5"/>
        <v>-5.1112731040694442E-2</v>
      </c>
      <c r="BE23">
        <f t="shared" si="5"/>
        <v>6.6525724699305552E-2</v>
      </c>
      <c r="BF23">
        <f t="shared" si="5"/>
        <v>-1.0149572338694445E-2</v>
      </c>
      <c r="BG23">
        <f t="shared" si="5"/>
        <v>4.3918896649305553E-2</v>
      </c>
      <c r="BH23">
        <f t="shared" si="5"/>
        <v>3.7682790779305558E-2</v>
      </c>
      <c r="BI23">
        <f t="shared" si="5"/>
        <v>-5.3294141000694448E-2</v>
      </c>
      <c r="BJ23">
        <f t="shared" si="5"/>
        <v>-4.2990120856944442E-3</v>
      </c>
      <c r="BK23">
        <f t="shared" si="5"/>
        <v>-7.8312136160694448E-2</v>
      </c>
      <c r="BL23">
        <f t="shared" si="5"/>
        <v>9.357268691930555E-2</v>
      </c>
      <c r="BM23">
        <f t="shared" si="5"/>
        <v>4.2544422029305556E-2</v>
      </c>
      <c r="BN23">
        <f t="shared" si="5"/>
        <v>2.9770277229305555E-2</v>
      </c>
      <c r="BO23">
        <f t="shared" si="5"/>
        <v>-5.1620149200694451E-2</v>
      </c>
      <c r="BP23">
        <f t="shared" si="5"/>
        <v>-6.8205871360694448E-2</v>
      </c>
      <c r="BQ23">
        <f t="shared" si="5"/>
        <v>-6.8261610770694439E-2</v>
      </c>
      <c r="BR23">
        <f t="shared" si="5"/>
        <v>0.14303578441930556</v>
      </c>
      <c r="BS23">
        <f t="shared" si="6"/>
        <v>-0.13509656188069444</v>
      </c>
      <c r="BT23">
        <f t="shared" si="6"/>
        <v>-9.4677930580694444E-2</v>
      </c>
      <c r="BU23">
        <f t="shared" si="6"/>
        <v>1.2975624709305557E-2</v>
      </c>
      <c r="BV23">
        <f t="shared" si="6"/>
        <v>1.4909527919305554E-2</v>
      </c>
      <c r="BW23" t="s">
        <v>102</v>
      </c>
      <c r="BX23">
        <v>5.6193579378684758E-2</v>
      </c>
      <c r="BY23">
        <f>SUMPRODUCT(Dev_M22,$BX$2:$BX$31)</f>
        <v>-2.521543903898282E-3</v>
      </c>
      <c r="CA23">
        <v>3159836.0269999998</v>
      </c>
    </row>
    <row r="24" spans="1:81" ht="15" thickBot="1" x14ac:dyDescent="0.35">
      <c r="A24" s="13" t="s">
        <v>104</v>
      </c>
      <c r="B24" s="3">
        <v>1.197513249E-2</v>
      </c>
      <c r="C24" s="3">
        <v>-7.6287829200000004E-2</v>
      </c>
      <c r="D24" s="3">
        <v>6.5634539899999997E-2</v>
      </c>
      <c r="E24" s="3">
        <v>6.2461632900000001E-2</v>
      </c>
      <c r="F24" s="3">
        <v>7.3667485190000007E-2</v>
      </c>
      <c r="G24" s="3">
        <v>4.7042468269999999E-2</v>
      </c>
      <c r="H24" s="3">
        <v>-2.3770772660000002E-2</v>
      </c>
      <c r="I24" s="3">
        <v>-5.5894353530000003E-2</v>
      </c>
      <c r="J24" s="3">
        <v>-5.3905850640000003E-2</v>
      </c>
      <c r="K24" s="3">
        <v>-0.1095829854</v>
      </c>
      <c r="L24" s="3">
        <v>-6.509267432E-3</v>
      </c>
      <c r="M24" s="3">
        <v>8.3842309830000003E-3</v>
      </c>
      <c r="N24" s="3">
        <v>4.9556742469999998E-2</v>
      </c>
      <c r="O24" s="3">
        <v>6.4949373069999997E-2</v>
      </c>
      <c r="P24" s="3">
        <v>0.1576924972</v>
      </c>
      <c r="Q24" s="3">
        <v>7.0297872339999998E-2</v>
      </c>
      <c r="R24" s="3">
        <v>-5.6814567429999997E-2</v>
      </c>
      <c r="S24" s="3">
        <v>1.1676432150000001E-2</v>
      </c>
      <c r="T24" s="3">
        <v>1.025E-2</v>
      </c>
      <c r="U24" s="3">
        <v>2.804586324E-2</v>
      </c>
      <c r="V24" s="3">
        <v>8.4008665649999995E-2</v>
      </c>
      <c r="W24" s="3">
        <v>9.5743893410000003E-2</v>
      </c>
      <c r="X24" s="3">
        <v>1.1213564360000001E-2</v>
      </c>
      <c r="Y24" s="3">
        <v>-6.4765022209999995E-2</v>
      </c>
      <c r="Z24" s="3">
        <v>3.371428571E-2</v>
      </c>
      <c r="AA24" s="3">
        <v>2.3217247100000001E-2</v>
      </c>
      <c r="AB24" s="3">
        <v>4.2882225820000001E-2</v>
      </c>
      <c r="AC24" s="3">
        <v>7.1618208899999994E-2</v>
      </c>
      <c r="AD24" s="3">
        <v>-4.8341289500000001E-4</v>
      </c>
      <c r="AE24" s="3">
        <v>-6.1876549179999997E-2</v>
      </c>
      <c r="AF24" s="3">
        <v>-1.150314161E-2</v>
      </c>
      <c r="AG24" s="3">
        <v>-3.1944716080000001E-3</v>
      </c>
      <c r="AH24" s="3">
        <v>-3.2439502940000003E-2</v>
      </c>
      <c r="AI24" s="3">
        <v>-4.8600784100000002E-2</v>
      </c>
      <c r="AJ24" s="3">
        <v>2.465364121E-2</v>
      </c>
      <c r="AK24" s="3">
        <v>5.8036333379999999E-2</v>
      </c>
      <c r="AL24">
        <f t="shared" si="3"/>
        <v>1.3919272914111115E-2</v>
      </c>
      <c r="AM24">
        <f t="shared" si="4"/>
        <v>-1.9441404241111147E-3</v>
      </c>
      <c r="AN24">
        <f t="shared" si="4"/>
        <v>-9.0207102114111121E-2</v>
      </c>
      <c r="AO24">
        <f t="shared" si="4"/>
        <v>5.171526698588888E-2</v>
      </c>
      <c r="AP24">
        <f t="shared" si="4"/>
        <v>4.8542359985888885E-2</v>
      </c>
      <c r="AQ24">
        <f t="shared" si="4"/>
        <v>5.974821227588889E-2</v>
      </c>
      <c r="AR24">
        <f t="shared" si="4"/>
        <v>3.3123195355888882E-2</v>
      </c>
      <c r="AS24">
        <f t="shared" si="4"/>
        <v>-3.7690045574111118E-2</v>
      </c>
      <c r="AT24">
        <f t="shared" si="4"/>
        <v>-6.9813626444111113E-2</v>
      </c>
      <c r="AU24">
        <f t="shared" si="4"/>
        <v>-6.7825123554111119E-2</v>
      </c>
      <c r="AV24">
        <f t="shared" si="4"/>
        <v>-0.12350225831411112</v>
      </c>
      <c r="AW24">
        <f t="shared" si="4"/>
        <v>-2.0428540346111114E-2</v>
      </c>
      <c r="AX24">
        <f t="shared" si="4"/>
        <v>-5.5350419311111145E-3</v>
      </c>
      <c r="AY24">
        <f t="shared" si="4"/>
        <v>3.5637469555888882E-2</v>
      </c>
      <c r="AZ24">
        <f t="shared" si="4"/>
        <v>5.103010015588888E-2</v>
      </c>
      <c r="BA24">
        <f t="shared" si="4"/>
        <v>0.1437732242858889</v>
      </c>
      <c r="BB24">
        <f t="shared" si="4"/>
        <v>5.6378599425888881E-2</v>
      </c>
      <c r="BC24">
        <f t="shared" si="5"/>
        <v>-7.0733840344111107E-2</v>
      </c>
      <c r="BD24">
        <f t="shared" si="5"/>
        <v>-2.2428407641111141E-3</v>
      </c>
      <c r="BE24">
        <f t="shared" si="5"/>
        <v>-3.6692729141111144E-3</v>
      </c>
      <c r="BF24">
        <f t="shared" si="5"/>
        <v>1.4126590325888885E-2</v>
      </c>
      <c r="BG24">
        <f t="shared" si="5"/>
        <v>7.0089392735888878E-2</v>
      </c>
      <c r="BH24">
        <f t="shared" si="5"/>
        <v>8.1824620495888886E-2</v>
      </c>
      <c r="BI24">
        <f t="shared" si="5"/>
        <v>-2.705708554111114E-3</v>
      </c>
      <c r="BJ24">
        <f t="shared" si="5"/>
        <v>-7.8684295124111112E-2</v>
      </c>
      <c r="BK24">
        <f t="shared" si="5"/>
        <v>1.9795012795888883E-2</v>
      </c>
      <c r="BL24">
        <f t="shared" si="5"/>
        <v>9.2979741858888864E-3</v>
      </c>
      <c r="BM24">
        <f t="shared" si="5"/>
        <v>2.8962952905888885E-2</v>
      </c>
      <c r="BN24">
        <f t="shared" si="5"/>
        <v>5.7698935985888877E-2</v>
      </c>
      <c r="BO24">
        <f t="shared" si="5"/>
        <v>-1.4402685809111115E-2</v>
      </c>
      <c r="BP24">
        <f t="shared" si="5"/>
        <v>-7.5795822094111107E-2</v>
      </c>
      <c r="BQ24">
        <f t="shared" si="5"/>
        <v>-2.5422414524111113E-2</v>
      </c>
      <c r="BR24">
        <f t="shared" si="5"/>
        <v>-1.7113744522111115E-2</v>
      </c>
      <c r="BS24">
        <f t="shared" si="6"/>
        <v>-4.635877585411112E-2</v>
      </c>
      <c r="BT24">
        <f t="shared" si="6"/>
        <v>-6.2520057014111119E-2</v>
      </c>
      <c r="BU24">
        <f t="shared" si="6"/>
        <v>1.0734368295888886E-2</v>
      </c>
      <c r="BV24">
        <f t="shared" si="6"/>
        <v>4.4117060465888883E-2</v>
      </c>
      <c r="BW24" t="s">
        <v>102</v>
      </c>
      <c r="BX24">
        <v>0.19228236947670296</v>
      </c>
      <c r="BY24">
        <f>SUMPRODUCT(Dev_M23,$BX$2:$BX$31)</f>
        <v>3.3152247702104361E-3</v>
      </c>
      <c r="CA24">
        <v>8241899.784</v>
      </c>
    </row>
    <row r="25" spans="1:81" ht="15" thickBot="1" x14ac:dyDescent="0.35">
      <c r="A25" s="13" t="s">
        <v>105</v>
      </c>
      <c r="B25" s="3">
        <v>-0.20288986549999999</v>
      </c>
      <c r="C25" s="3">
        <v>1.0887422379999999E-2</v>
      </c>
      <c r="D25" s="3">
        <v>5.5434662849999997E-2</v>
      </c>
      <c r="E25" s="3">
        <v>-5.3449558279999997E-2</v>
      </c>
      <c r="F25" s="3">
        <v>2.160276824E-2</v>
      </c>
      <c r="G25" s="3">
        <v>-2.599049984E-2</v>
      </c>
      <c r="H25" s="3">
        <v>-5.6582338109999998E-2</v>
      </c>
      <c r="I25" s="3">
        <v>2.4965488879999998E-3</v>
      </c>
      <c r="J25" s="3">
        <v>-2.8682761050000002E-2</v>
      </c>
      <c r="K25" s="3">
        <v>-0.1477091063</v>
      </c>
      <c r="L25" s="3">
        <v>-7.9629105320000004E-4</v>
      </c>
      <c r="M25" s="3">
        <v>0.1574547966</v>
      </c>
      <c r="N25" s="3">
        <v>5.3765415099999998E-2</v>
      </c>
      <c r="O25" s="3">
        <v>4.065512835E-2</v>
      </c>
      <c r="P25" s="3">
        <v>2.81002344E-2</v>
      </c>
      <c r="Q25" s="3">
        <v>-2.5025106530000001E-2</v>
      </c>
      <c r="R25" s="3">
        <v>4.817516216E-2</v>
      </c>
      <c r="S25" s="3">
        <v>-0.1000756942</v>
      </c>
      <c r="T25" s="3">
        <v>0.1181548541</v>
      </c>
      <c r="U25" s="3">
        <v>3.0406207930000002E-2</v>
      </c>
      <c r="V25" s="3">
        <v>-5.9760752069999999E-2</v>
      </c>
      <c r="W25" s="3">
        <v>-4.9528687410000001E-2</v>
      </c>
      <c r="X25" s="3">
        <v>-1.2468470529999999E-2</v>
      </c>
      <c r="Y25" s="3">
        <v>0.16169854580000001</v>
      </c>
      <c r="Z25" s="3">
        <v>7.6154307419999998E-2</v>
      </c>
      <c r="AA25" s="3">
        <v>6.7154996290000005E-2</v>
      </c>
      <c r="AB25" s="3">
        <v>7.1087469680000001E-2</v>
      </c>
      <c r="AC25" s="3">
        <v>3.4672570690000001E-2</v>
      </c>
      <c r="AD25" s="3">
        <v>6.8601660810000006E-2</v>
      </c>
      <c r="AE25" s="3">
        <v>8.1989951039999995E-2</v>
      </c>
      <c r="AF25" s="3">
        <v>4.805888296E-2</v>
      </c>
      <c r="AG25" s="3">
        <v>-1.197207057E-2</v>
      </c>
      <c r="AH25" s="3">
        <v>-8.5443037969999996E-2</v>
      </c>
      <c r="AI25" s="3">
        <v>-1.7471359160000002E-2</v>
      </c>
      <c r="AJ25" s="3">
        <v>5.3866155739999998E-2</v>
      </c>
      <c r="AK25" s="3">
        <v>4.104442078E-2</v>
      </c>
      <c r="AL25">
        <f t="shared" si="3"/>
        <v>1.0933793434299999E-2</v>
      </c>
      <c r="AM25">
        <f t="shared" si="4"/>
        <v>-0.2138236589343</v>
      </c>
      <c r="AN25">
        <f t="shared" si="4"/>
        <v>-4.6371054300000172E-5</v>
      </c>
      <c r="AO25">
        <f t="shared" si="4"/>
        <v>4.4500869415700001E-2</v>
      </c>
      <c r="AP25">
        <f t="shared" si="4"/>
        <v>-6.4383351714299999E-2</v>
      </c>
      <c r="AQ25">
        <f t="shared" si="4"/>
        <v>1.0668974805700001E-2</v>
      </c>
      <c r="AR25">
        <f t="shared" si="4"/>
        <v>-3.6924293274299996E-2</v>
      </c>
      <c r="AS25">
        <f t="shared" si="4"/>
        <v>-6.7516131544300001E-2</v>
      </c>
      <c r="AT25">
        <f t="shared" si="4"/>
        <v>-8.4372445463E-3</v>
      </c>
      <c r="AU25">
        <f t="shared" si="4"/>
        <v>-3.9616554484300001E-2</v>
      </c>
      <c r="AV25">
        <f t="shared" si="4"/>
        <v>-0.15864289973430001</v>
      </c>
      <c r="AW25">
        <f t="shared" si="4"/>
        <v>-1.1730084487499999E-2</v>
      </c>
      <c r="AX25">
        <f t="shared" si="4"/>
        <v>0.14652100316569999</v>
      </c>
      <c r="AY25">
        <f t="shared" si="4"/>
        <v>4.2831621665699995E-2</v>
      </c>
      <c r="AZ25">
        <f t="shared" si="4"/>
        <v>2.97213349157E-2</v>
      </c>
      <c r="BA25">
        <f t="shared" si="4"/>
        <v>1.7166440965700001E-2</v>
      </c>
      <c r="BB25">
        <f t="shared" si="4"/>
        <v>-3.5958899964300003E-2</v>
      </c>
      <c r="BC25">
        <f t="shared" si="5"/>
        <v>3.7241368725699997E-2</v>
      </c>
      <c r="BD25">
        <f t="shared" si="5"/>
        <v>-0.11100948763429999</v>
      </c>
      <c r="BE25">
        <f t="shared" si="5"/>
        <v>0.1072210606657</v>
      </c>
      <c r="BF25">
        <f t="shared" si="5"/>
        <v>1.9472414495700002E-2</v>
      </c>
      <c r="BG25">
        <f t="shared" si="5"/>
        <v>-7.0694545504300002E-2</v>
      </c>
      <c r="BH25">
        <f t="shared" si="5"/>
        <v>-6.0462480844300004E-2</v>
      </c>
      <c r="BI25">
        <f t="shared" si="5"/>
        <v>-2.34022639643E-2</v>
      </c>
      <c r="BJ25">
        <f t="shared" si="5"/>
        <v>0.1507647523657</v>
      </c>
      <c r="BK25">
        <f t="shared" si="5"/>
        <v>6.5220513985700002E-2</v>
      </c>
      <c r="BL25">
        <f t="shared" si="5"/>
        <v>5.6221202855700009E-2</v>
      </c>
      <c r="BM25">
        <f t="shared" si="5"/>
        <v>6.0153676245700005E-2</v>
      </c>
      <c r="BN25">
        <f t="shared" si="5"/>
        <v>2.3738777255700002E-2</v>
      </c>
      <c r="BO25">
        <f t="shared" si="5"/>
        <v>5.766786737570001E-2</v>
      </c>
      <c r="BP25">
        <f t="shared" si="5"/>
        <v>7.1056157605699999E-2</v>
      </c>
      <c r="BQ25">
        <f t="shared" si="5"/>
        <v>3.7125089525699997E-2</v>
      </c>
      <c r="BR25">
        <f t="shared" si="5"/>
        <v>-2.2905864004299999E-2</v>
      </c>
      <c r="BS25">
        <f t="shared" si="6"/>
        <v>-9.6376831404299992E-2</v>
      </c>
      <c r="BT25">
        <f t="shared" si="6"/>
        <v>-2.8405152594300001E-2</v>
      </c>
      <c r="BU25">
        <f t="shared" si="6"/>
        <v>4.2932362305699995E-2</v>
      </c>
      <c r="BV25">
        <f t="shared" si="6"/>
        <v>3.0110627345700001E-2</v>
      </c>
      <c r="BW25" t="s">
        <v>102</v>
      </c>
      <c r="BX25">
        <v>2.9072752738771079E-2</v>
      </c>
      <c r="BY25">
        <f>SUMPRODUCT(Dev_M24,$BX$2:$BX$31)</f>
        <v>-5.8939896043998449E-3</v>
      </c>
      <c r="CA25">
        <v>2517180.5410000002</v>
      </c>
    </row>
    <row r="26" spans="1:81" ht="15" thickBot="1" x14ac:dyDescent="0.35">
      <c r="A26" s="13" t="s">
        <v>106</v>
      </c>
      <c r="B26" s="3">
        <v>-0.106648557</v>
      </c>
      <c r="C26" s="3">
        <v>-7.4334681979999997E-2</v>
      </c>
      <c r="D26" s="3">
        <v>0.14355911499999999</v>
      </c>
      <c r="E26" s="3">
        <v>2.625643947E-2</v>
      </c>
      <c r="F26" s="3">
        <v>1.399523468E-2</v>
      </c>
      <c r="G26" s="3">
        <v>3.0592690610000001E-2</v>
      </c>
      <c r="H26" s="3">
        <v>4.6242390699999997E-2</v>
      </c>
      <c r="I26" s="3">
        <v>-5.2640487469999997E-2</v>
      </c>
      <c r="J26" s="3">
        <v>-4.9513132039999998E-2</v>
      </c>
      <c r="K26" s="3">
        <v>3.4246575340000002E-2</v>
      </c>
      <c r="L26" s="3">
        <v>-2.0617268519999999E-2</v>
      </c>
      <c r="M26" s="3">
        <v>4.7043540789999998E-2</v>
      </c>
      <c r="N26" s="3">
        <v>2.3982542039999999E-2</v>
      </c>
      <c r="O26" s="3">
        <v>0.1030409243</v>
      </c>
      <c r="P26" s="3">
        <v>1.476011141E-2</v>
      </c>
      <c r="Q26" s="3">
        <v>-6.9460418100000004E-2</v>
      </c>
      <c r="R26" s="3">
        <v>6.7229596389999993E-2</v>
      </c>
      <c r="S26" s="3">
        <v>-6.1865602649999997E-2</v>
      </c>
      <c r="T26" s="3">
        <v>0.1471088612</v>
      </c>
      <c r="U26" s="3">
        <v>3.167870934E-2</v>
      </c>
      <c r="V26" s="3">
        <v>0.11375151209999999</v>
      </c>
      <c r="W26" s="3">
        <v>-3.9564296899999997E-2</v>
      </c>
      <c r="X26" s="3">
        <v>4.1825095059999998E-2</v>
      </c>
      <c r="Y26" s="3">
        <v>-6.4450667000000003E-2</v>
      </c>
      <c r="Z26" s="3">
        <v>-1.8143296730000001E-2</v>
      </c>
      <c r="AA26" s="3">
        <v>5.9340320590000002E-2</v>
      </c>
      <c r="AB26" s="3">
        <v>6.9450506810000007E-2</v>
      </c>
      <c r="AC26" s="3">
        <v>4.7193626900000001E-2</v>
      </c>
      <c r="AD26" s="3">
        <v>3.9213280400000002E-2</v>
      </c>
      <c r="AE26" s="3">
        <v>-2.450983797E-2</v>
      </c>
      <c r="AF26" s="3">
        <v>-2.759622367E-2</v>
      </c>
      <c r="AG26" s="3">
        <v>6.8451727219999994E-2</v>
      </c>
      <c r="AH26" s="3">
        <v>-6.6588088559999994E-2</v>
      </c>
      <c r="AI26" s="3">
        <v>-0.1112840467</v>
      </c>
      <c r="AJ26" s="3">
        <v>9.3117007569999993E-2</v>
      </c>
      <c r="AK26" s="3">
        <v>5.0905353530000003E-2</v>
      </c>
      <c r="AL26">
        <f t="shared" si="3"/>
        <v>1.4604682115555554E-2</v>
      </c>
      <c r="AM26">
        <f t="shared" si="4"/>
        <v>-0.12125323911555556</v>
      </c>
      <c r="AN26">
        <f t="shared" si="4"/>
        <v>-8.8939364095555556E-2</v>
      </c>
      <c r="AO26">
        <f t="shared" si="4"/>
        <v>0.12895443288444444</v>
      </c>
      <c r="AP26">
        <f t="shared" si="4"/>
        <v>1.1651757354444446E-2</v>
      </c>
      <c r="AQ26">
        <f t="shared" si="4"/>
        <v>-6.0944743555555424E-4</v>
      </c>
      <c r="AR26">
        <f t="shared" si="4"/>
        <v>1.5988008494444449E-2</v>
      </c>
      <c r="AS26">
        <f t="shared" si="4"/>
        <v>3.1637708584444445E-2</v>
      </c>
      <c r="AT26">
        <f t="shared" si="4"/>
        <v>-6.7245169585555556E-2</v>
      </c>
      <c r="AU26">
        <f t="shared" si="4"/>
        <v>-6.411781415555555E-2</v>
      </c>
      <c r="AV26">
        <f t="shared" si="4"/>
        <v>1.964189322444445E-2</v>
      </c>
      <c r="AW26">
        <f t="shared" si="4"/>
        <v>-3.5221950635555554E-2</v>
      </c>
      <c r="AX26">
        <f t="shared" si="4"/>
        <v>3.2438858674444446E-2</v>
      </c>
      <c r="AY26">
        <f t="shared" si="4"/>
        <v>9.3778599244444451E-3</v>
      </c>
      <c r="AZ26">
        <f t="shared" si="4"/>
        <v>8.8436242184444444E-2</v>
      </c>
      <c r="BA26">
        <f t="shared" si="4"/>
        <v>1.5542929444444659E-4</v>
      </c>
      <c r="BB26">
        <f t="shared" si="4"/>
        <v>-8.4065100215555563E-2</v>
      </c>
      <c r="BC26">
        <f t="shared" si="5"/>
        <v>5.2624914274444441E-2</v>
      </c>
      <c r="BD26">
        <f t="shared" si="5"/>
        <v>-7.6470284765555549E-2</v>
      </c>
      <c r="BE26">
        <f t="shared" si="5"/>
        <v>0.13250417908444445</v>
      </c>
      <c r="BF26">
        <f t="shared" si="5"/>
        <v>1.7074027224444448E-2</v>
      </c>
      <c r="BG26">
        <f t="shared" si="5"/>
        <v>9.9146829984444435E-2</v>
      </c>
      <c r="BH26">
        <f t="shared" si="5"/>
        <v>-5.4168979015555549E-2</v>
      </c>
      <c r="BI26">
        <f t="shared" si="5"/>
        <v>2.7220412944444446E-2</v>
      </c>
      <c r="BJ26">
        <f t="shared" si="5"/>
        <v>-7.9055349115555562E-2</v>
      </c>
      <c r="BK26">
        <f t="shared" si="5"/>
        <v>-3.2747978845555553E-2</v>
      </c>
      <c r="BL26">
        <f t="shared" si="5"/>
        <v>4.473563847444445E-2</v>
      </c>
      <c r="BM26">
        <f t="shared" si="5"/>
        <v>5.4845824694444455E-2</v>
      </c>
      <c r="BN26">
        <f t="shared" si="5"/>
        <v>3.2588944784444449E-2</v>
      </c>
      <c r="BO26">
        <f t="shared" si="5"/>
        <v>2.460859828444445E-2</v>
      </c>
      <c r="BP26">
        <f t="shared" si="5"/>
        <v>-3.9114520085555556E-2</v>
      </c>
      <c r="BQ26">
        <f t="shared" si="5"/>
        <v>-4.2200905785555555E-2</v>
      </c>
      <c r="BR26">
        <f t="shared" si="5"/>
        <v>5.3847045104444442E-2</v>
      </c>
      <c r="BS26">
        <f t="shared" si="6"/>
        <v>-8.1192770675555553E-2</v>
      </c>
      <c r="BT26">
        <f t="shared" si="6"/>
        <v>-0.12588872881555555</v>
      </c>
      <c r="BU26">
        <f t="shared" si="6"/>
        <v>7.8512325454444434E-2</v>
      </c>
      <c r="BV26">
        <f t="shared" si="6"/>
        <v>3.6300671414444451E-2</v>
      </c>
      <c r="BW26" t="s">
        <v>102</v>
      </c>
      <c r="BX26">
        <v>0</v>
      </c>
      <c r="BY26">
        <f>SUMPRODUCT(Dev_M25,$BX$2:$BX$31)</f>
        <v>-1.7081246004980153E-2</v>
      </c>
      <c r="CA26">
        <v>2226268.0269999998</v>
      </c>
    </row>
    <row r="27" spans="1:81" ht="15" thickBot="1" x14ac:dyDescent="0.35">
      <c r="A27" s="14" t="s">
        <v>107</v>
      </c>
      <c r="B27" s="3">
        <v>5.2978947130000002E-2</v>
      </c>
      <c r="C27" s="3">
        <v>-5.2119409329999998E-2</v>
      </c>
      <c r="D27" s="3">
        <v>0.1823724558</v>
      </c>
      <c r="E27" s="3">
        <v>8.5121710779999995E-3</v>
      </c>
      <c r="F27" s="3">
        <v>1.3760174450000001E-2</v>
      </c>
      <c r="G27" s="3">
        <v>-5.4052550579999997E-2</v>
      </c>
      <c r="H27" s="3">
        <v>5.2397381110000002E-2</v>
      </c>
      <c r="I27" s="3">
        <v>-4.5932907410000001E-2</v>
      </c>
      <c r="J27" s="3">
        <v>6.1302981199999997E-3</v>
      </c>
      <c r="K27" s="3">
        <v>-4.5056757539999999E-2</v>
      </c>
      <c r="L27" s="3">
        <v>4.0517749380000002E-2</v>
      </c>
      <c r="M27" s="3">
        <v>-4.0248403539999998E-2</v>
      </c>
      <c r="N27" s="3">
        <v>8.5561388520000003E-2</v>
      </c>
      <c r="O27" s="3">
        <v>3.9736837169999997E-3</v>
      </c>
      <c r="P27" s="3">
        <v>-4.3817560630000002E-2</v>
      </c>
      <c r="Q27" s="3">
        <v>-2.1770540460000001E-2</v>
      </c>
      <c r="R27" s="3">
        <v>-1.5748188659999999E-2</v>
      </c>
      <c r="S27" s="3">
        <v>7.4626865670000004E-3</v>
      </c>
      <c r="T27" s="3">
        <v>2.4778582930000001E-2</v>
      </c>
      <c r="U27" s="3">
        <v>4.6512541490000003E-2</v>
      </c>
      <c r="V27" s="3">
        <v>-6.8469753559999999E-2</v>
      </c>
      <c r="W27" s="3">
        <v>-2.7905945880000001E-2</v>
      </c>
      <c r="X27" s="3">
        <v>-6.1331509350000001E-2</v>
      </c>
      <c r="Y27" s="3">
        <v>-1.4971183779999999E-2</v>
      </c>
      <c r="Z27" s="3">
        <v>4.4206326079999997E-2</v>
      </c>
      <c r="AA27" s="3">
        <v>6.1827783859999999E-2</v>
      </c>
      <c r="AB27" s="3">
        <v>9.4053901049999999E-2</v>
      </c>
      <c r="AC27" s="3">
        <v>2.6740339660000001E-2</v>
      </c>
      <c r="AD27" s="3">
        <v>6.4902807780000002E-2</v>
      </c>
      <c r="AE27" s="3">
        <v>-0.1453706521</v>
      </c>
      <c r="AF27" s="3">
        <v>-1.2696529220000001E-2</v>
      </c>
      <c r="AG27" s="3">
        <v>-6.7824449649999993E-2</v>
      </c>
      <c r="AH27" s="3">
        <v>6.1005221649999997E-2</v>
      </c>
      <c r="AI27" s="3">
        <v>-0.1128280946</v>
      </c>
      <c r="AJ27" s="3">
        <v>3.1320625499999998E-2</v>
      </c>
      <c r="AK27" s="3">
        <v>3.2472275719999999E-2</v>
      </c>
      <c r="AL27">
        <f t="shared" si="3"/>
        <v>3.0928584806111121E-3</v>
      </c>
      <c r="AM27">
        <f t="shared" si="4"/>
        <v>4.9886088649388892E-2</v>
      </c>
      <c r="AN27">
        <f t="shared" si="4"/>
        <v>-5.5212267810611108E-2</v>
      </c>
      <c r="AO27">
        <f t="shared" si="4"/>
        <v>0.17927959731938889</v>
      </c>
      <c r="AP27">
        <f t="shared" si="4"/>
        <v>5.4193125973888874E-3</v>
      </c>
      <c r="AQ27">
        <f t="shared" si="4"/>
        <v>1.0667315969388889E-2</v>
      </c>
      <c r="AR27">
        <f t="shared" si="4"/>
        <v>-5.7145409060611108E-2</v>
      </c>
      <c r="AS27">
        <f t="shared" si="4"/>
        <v>4.9304522629388892E-2</v>
      </c>
      <c r="AT27">
        <f t="shared" si="4"/>
        <v>-4.9025765890611112E-2</v>
      </c>
      <c r="AU27">
        <f t="shared" si="4"/>
        <v>3.0374396393888876E-3</v>
      </c>
      <c r="AV27">
        <f t="shared" si="4"/>
        <v>-4.8149616020611109E-2</v>
      </c>
      <c r="AW27">
        <f t="shared" si="4"/>
        <v>3.7424890899388892E-2</v>
      </c>
      <c r="AX27">
        <f t="shared" si="4"/>
        <v>-4.3341262020611108E-2</v>
      </c>
      <c r="AY27">
        <f t="shared" si="4"/>
        <v>8.2468530039388893E-2</v>
      </c>
      <c r="AZ27">
        <f t="shared" si="4"/>
        <v>8.8082523638888764E-4</v>
      </c>
      <c r="BA27">
        <f t="shared" si="4"/>
        <v>-4.6910419110611112E-2</v>
      </c>
      <c r="BB27">
        <f t="shared" si="4"/>
        <v>-2.4863398940611112E-2</v>
      </c>
      <c r="BC27">
        <f t="shared" si="5"/>
        <v>-1.8841047140611113E-2</v>
      </c>
      <c r="BD27">
        <f t="shared" si="5"/>
        <v>4.3698280863888883E-3</v>
      </c>
      <c r="BE27">
        <f t="shared" si="5"/>
        <v>2.1685724449388891E-2</v>
      </c>
      <c r="BF27">
        <f t="shared" si="5"/>
        <v>4.3419683009388893E-2</v>
      </c>
      <c r="BG27">
        <f t="shared" si="5"/>
        <v>-7.1562612040611109E-2</v>
      </c>
      <c r="BH27">
        <f t="shared" si="5"/>
        <v>-3.0998804360611115E-2</v>
      </c>
      <c r="BI27">
        <f t="shared" si="5"/>
        <v>-6.4424367830611118E-2</v>
      </c>
      <c r="BJ27">
        <f t="shared" si="5"/>
        <v>-1.8064042260611111E-2</v>
      </c>
      <c r="BK27">
        <f t="shared" si="5"/>
        <v>4.1113467599388887E-2</v>
      </c>
      <c r="BL27">
        <f t="shared" si="5"/>
        <v>5.8734925379388889E-2</v>
      </c>
      <c r="BM27">
        <f t="shared" si="5"/>
        <v>9.0961042569388889E-2</v>
      </c>
      <c r="BN27">
        <f t="shared" si="5"/>
        <v>2.3647481179388891E-2</v>
      </c>
      <c r="BO27">
        <f t="shared" si="5"/>
        <v>6.1809949299388892E-2</v>
      </c>
      <c r="BP27">
        <f t="shared" si="5"/>
        <v>-0.14846351058061111</v>
      </c>
      <c r="BQ27">
        <f t="shared" si="5"/>
        <v>-1.5789387700611113E-2</v>
      </c>
      <c r="BR27">
        <f t="shared" si="5"/>
        <v>-7.0917308130611104E-2</v>
      </c>
      <c r="BS27">
        <f t="shared" si="6"/>
        <v>5.7912363169388886E-2</v>
      </c>
      <c r="BT27">
        <f t="shared" si="6"/>
        <v>-0.11592095308061111</v>
      </c>
      <c r="BU27">
        <f t="shared" si="6"/>
        <v>2.8227767019388887E-2</v>
      </c>
      <c r="BV27">
        <f t="shared" si="6"/>
        <v>2.9379417239388889E-2</v>
      </c>
      <c r="BW27" t="s">
        <v>108</v>
      </c>
      <c r="BX27">
        <v>1.4155693714403766E-2</v>
      </c>
      <c r="BY27">
        <f>SUMPRODUCT(Dev_M26,$BX$2:$BX$31)</f>
        <v>5.7037239246631538E-2</v>
      </c>
      <c r="CA27">
        <v>8059337.6490000002</v>
      </c>
    </row>
    <row r="28" spans="1:81" ht="15" thickBot="1" x14ac:dyDescent="0.35">
      <c r="A28" s="14" t="s">
        <v>109</v>
      </c>
      <c r="B28" s="3">
        <v>4.276632633E-2</v>
      </c>
      <c r="C28" s="3">
        <v>1.0530205060000001E-2</v>
      </c>
      <c r="D28" s="3">
        <v>0.1080438757</v>
      </c>
      <c r="E28" s="3">
        <v>5.7581257220000001E-2</v>
      </c>
      <c r="F28" s="3">
        <v>3.6505460220000001E-2</v>
      </c>
      <c r="G28" s="3">
        <v>4.9668874170000002E-2</v>
      </c>
      <c r="H28" s="3">
        <v>-2.4949813590000001E-2</v>
      </c>
      <c r="I28" s="3">
        <v>-2.4852941180000001E-2</v>
      </c>
      <c r="J28" s="3">
        <v>6.2735635649999996E-2</v>
      </c>
      <c r="K28" s="3">
        <v>6.9107421599999996E-2</v>
      </c>
      <c r="L28" s="3">
        <v>1.8051499870000001E-2</v>
      </c>
      <c r="M28" s="3">
        <v>0.1096479791</v>
      </c>
      <c r="N28" s="3">
        <v>4.6880507580000001E-2</v>
      </c>
      <c r="O28" s="3">
        <v>1.369248036E-2</v>
      </c>
      <c r="P28" s="3">
        <v>3.1222320639999999E-2</v>
      </c>
      <c r="Q28" s="3">
        <v>-5.5829933429999999E-2</v>
      </c>
      <c r="R28" s="3">
        <v>1.068910621E-2</v>
      </c>
      <c r="S28" s="3">
        <v>-3.6003600359999999E-2</v>
      </c>
      <c r="T28" s="3">
        <v>1.72735761E-2</v>
      </c>
      <c r="U28" s="3">
        <v>6.0348783849999997E-2</v>
      </c>
      <c r="V28" s="3">
        <v>-4.4470893749999997E-2</v>
      </c>
      <c r="W28" s="3">
        <v>-7.9832408559999998E-2</v>
      </c>
      <c r="X28" s="3">
        <v>5.4270243660000002E-2</v>
      </c>
      <c r="Y28" s="3">
        <v>1.704213844E-2</v>
      </c>
      <c r="Z28" s="3">
        <v>-2.1117869849999998E-2</v>
      </c>
      <c r="AA28" s="3">
        <v>-3.6346582250000002E-3</v>
      </c>
      <c r="AB28" s="3">
        <v>0.1658037185</v>
      </c>
      <c r="AC28" s="3">
        <v>1.3222973650000001E-2</v>
      </c>
      <c r="AD28" s="3">
        <v>3.2376967520000001E-2</v>
      </c>
      <c r="AE28" s="3">
        <v>-5.6643829010000001E-2</v>
      </c>
      <c r="AF28" s="3">
        <v>-2.465220949E-2</v>
      </c>
      <c r="AG28" s="3">
        <v>1.4472994229999999E-2</v>
      </c>
      <c r="AH28" s="3">
        <v>-7.4744133150000003E-2</v>
      </c>
      <c r="AI28" s="3">
        <v>-0.1173184358</v>
      </c>
      <c r="AJ28" s="3">
        <v>3.7341772150000001E-2</v>
      </c>
      <c r="AK28" s="3">
        <v>4.4051250760000001E-2</v>
      </c>
      <c r="AL28">
        <f t="shared" si="3"/>
        <v>1.5535462282638893E-2</v>
      </c>
      <c r="AM28">
        <f t="shared" si="4"/>
        <v>2.7230864047361109E-2</v>
      </c>
      <c r="AN28">
        <f t="shared" si="4"/>
        <v>-5.0052572226388925E-3</v>
      </c>
      <c r="AO28">
        <f t="shared" si="4"/>
        <v>9.2508413417361102E-2</v>
      </c>
      <c r="AP28">
        <f t="shared" si="4"/>
        <v>4.204579493736111E-2</v>
      </c>
      <c r="AQ28">
        <f t="shared" si="4"/>
        <v>2.096999793736111E-2</v>
      </c>
      <c r="AR28">
        <f t="shared" si="4"/>
        <v>3.4133411887361111E-2</v>
      </c>
      <c r="AS28">
        <f t="shared" si="4"/>
        <v>-4.0485275872638893E-2</v>
      </c>
      <c r="AT28">
        <f t="shared" si="4"/>
        <v>-4.0388403462638896E-2</v>
      </c>
      <c r="AU28">
        <f t="shared" si="4"/>
        <v>4.7200173367361105E-2</v>
      </c>
      <c r="AV28">
        <f t="shared" si="4"/>
        <v>5.3571959317361105E-2</v>
      </c>
      <c r="AW28">
        <f t="shared" si="4"/>
        <v>2.5160375873611081E-3</v>
      </c>
      <c r="AX28">
        <f t="shared" si="4"/>
        <v>9.4112516817361103E-2</v>
      </c>
      <c r="AY28">
        <f t="shared" si="4"/>
        <v>3.134504529736111E-2</v>
      </c>
      <c r="AZ28">
        <f t="shared" si="4"/>
        <v>-1.8429819226388928E-3</v>
      </c>
      <c r="BA28">
        <f t="shared" si="4"/>
        <v>1.5686858357361104E-2</v>
      </c>
      <c r="BB28">
        <f t="shared" si="4"/>
        <v>-7.136539571263889E-2</v>
      </c>
      <c r="BC28">
        <f t="shared" si="5"/>
        <v>-4.8463560726388927E-3</v>
      </c>
      <c r="BD28">
        <f t="shared" si="5"/>
        <v>-5.153906264263889E-2</v>
      </c>
      <c r="BE28">
        <f t="shared" si="5"/>
        <v>1.7381138173611071E-3</v>
      </c>
      <c r="BF28">
        <f t="shared" si="5"/>
        <v>4.4813321567361106E-2</v>
      </c>
      <c r="BG28">
        <f t="shared" si="5"/>
        <v>-6.0006356032638888E-2</v>
      </c>
      <c r="BH28">
        <f t="shared" si="5"/>
        <v>-9.5367870842638897E-2</v>
      </c>
      <c r="BI28">
        <f t="shared" si="5"/>
        <v>3.873478137736111E-2</v>
      </c>
      <c r="BJ28">
        <f t="shared" si="5"/>
        <v>1.506676157361107E-3</v>
      </c>
      <c r="BK28">
        <f t="shared" si="5"/>
        <v>-3.665333213263889E-2</v>
      </c>
      <c r="BL28">
        <f t="shared" si="5"/>
        <v>-1.9170120507638895E-2</v>
      </c>
      <c r="BM28">
        <f t="shared" si="5"/>
        <v>0.15026825621736112</v>
      </c>
      <c r="BN28">
        <f t="shared" si="5"/>
        <v>-2.3124886326388924E-3</v>
      </c>
      <c r="BO28">
        <f t="shared" si="5"/>
        <v>1.684150523736111E-2</v>
      </c>
      <c r="BP28">
        <f t="shared" si="5"/>
        <v>-7.2179291292638892E-2</v>
      </c>
      <c r="BQ28">
        <f t="shared" si="5"/>
        <v>-4.0187671772638892E-2</v>
      </c>
      <c r="BR28">
        <f t="shared" si="5"/>
        <v>-1.0624680526388937E-3</v>
      </c>
      <c r="BS28">
        <f t="shared" si="6"/>
        <v>-9.0279595432638901E-2</v>
      </c>
      <c r="BT28">
        <f t="shared" si="6"/>
        <v>-0.13285389808263889</v>
      </c>
      <c r="BU28">
        <f t="shared" si="6"/>
        <v>2.1806309867361109E-2</v>
      </c>
      <c r="BV28">
        <f t="shared" si="6"/>
        <v>2.8515788477361109E-2</v>
      </c>
      <c r="BW28" t="s">
        <v>108</v>
      </c>
      <c r="BX28">
        <v>4.1551672960359665E-2</v>
      </c>
      <c r="BY28">
        <f>SUMPRODUCT(Dev_M27,$BX$2:$BX$31)</f>
        <v>3.334547211153864E-2</v>
      </c>
      <c r="CA28">
        <v>64733705.82</v>
      </c>
    </row>
    <row r="29" spans="1:81" ht="15" thickBot="1" x14ac:dyDescent="0.35">
      <c r="A29" s="14" t="s">
        <v>110</v>
      </c>
      <c r="B29" s="3">
        <v>-3.4849402359999997E-2</v>
      </c>
      <c r="C29" s="3">
        <v>-1.2520136790000001E-2</v>
      </c>
      <c r="D29" s="3">
        <v>0.1081339439</v>
      </c>
      <c r="E29" s="3">
        <v>2.9275637810000001E-2</v>
      </c>
      <c r="F29" s="3">
        <v>-3.919782594E-2</v>
      </c>
      <c r="G29" s="3">
        <v>6.3651748780000003E-2</v>
      </c>
      <c r="H29" s="3">
        <v>-8.8172898440000008E-3</v>
      </c>
      <c r="I29" s="3">
        <v>-2.8629324929999998E-2</v>
      </c>
      <c r="J29" s="3">
        <v>-3.0003570340000001E-2</v>
      </c>
      <c r="K29" s="3">
        <v>-1.8285549030000001E-2</v>
      </c>
      <c r="L29" s="3">
        <v>5.5409748260000002E-2</v>
      </c>
      <c r="M29" s="3">
        <v>0.10438732269999999</v>
      </c>
      <c r="N29" s="3">
        <v>-4.05764335E-3</v>
      </c>
      <c r="O29" s="3">
        <v>5.6346346390000003E-2</v>
      </c>
      <c r="P29" s="3">
        <v>-1.489453707E-2</v>
      </c>
      <c r="Q29" s="3">
        <v>-2.5136011140000001E-2</v>
      </c>
      <c r="R29" s="3">
        <v>2.3673725579999999E-2</v>
      </c>
      <c r="S29" s="3">
        <v>7.6772012139999998E-2</v>
      </c>
      <c r="T29" s="3">
        <v>5.5705019230000001E-5</v>
      </c>
      <c r="U29" s="3">
        <v>9.6721220159999996E-2</v>
      </c>
      <c r="V29" s="3">
        <v>-5.7196495149999999E-2</v>
      </c>
      <c r="W29" s="3">
        <v>3.5993615319999998E-2</v>
      </c>
      <c r="X29" s="3">
        <v>1.0072413529999999E-2</v>
      </c>
      <c r="Y29" s="3">
        <v>-4.3834728390000001E-2</v>
      </c>
      <c r="Z29" s="3">
        <v>-6.0819972880000003E-2</v>
      </c>
      <c r="AA29" s="3">
        <v>8.3549195290000003E-2</v>
      </c>
      <c r="AB29" s="3">
        <v>-3.7348382419999999E-2</v>
      </c>
      <c r="AC29" s="3">
        <v>1.8075599979999999E-2</v>
      </c>
      <c r="AD29" s="3">
        <v>7.5657302809999993E-2</v>
      </c>
      <c r="AE29" s="3">
        <v>-0.15873901000000001</v>
      </c>
      <c r="AF29" s="3">
        <v>-1.250579995E-2</v>
      </c>
      <c r="AG29" s="3">
        <v>-2.8908330159999999E-2</v>
      </c>
      <c r="AH29" s="3">
        <v>6.5966221980000003E-2</v>
      </c>
      <c r="AI29" s="3">
        <v>-5.3410859419999998E-2</v>
      </c>
      <c r="AJ29" s="3">
        <v>2.790400292E-2</v>
      </c>
      <c r="AK29" s="3">
        <v>7.2309230259999996E-2</v>
      </c>
      <c r="AL29">
        <f t="shared" si="3"/>
        <v>9.3000034351452786E-3</v>
      </c>
      <c r="AM29">
        <f t="shared" si="4"/>
        <v>-4.4149405795145272E-2</v>
      </c>
      <c r="AN29">
        <f t="shared" si="4"/>
        <v>-2.1820140225145279E-2</v>
      </c>
      <c r="AO29">
        <f t="shared" si="4"/>
        <v>9.8833940464854719E-2</v>
      </c>
      <c r="AP29">
        <f t="shared" si="4"/>
        <v>1.9975634374854723E-2</v>
      </c>
      <c r="AQ29">
        <f t="shared" si="4"/>
        <v>-4.8497829375145282E-2</v>
      </c>
      <c r="AR29">
        <f t="shared" si="4"/>
        <v>5.4351745344854721E-2</v>
      </c>
      <c r="AS29">
        <f t="shared" si="4"/>
        <v>-1.8117293279145279E-2</v>
      </c>
      <c r="AT29">
        <f t="shared" si="4"/>
        <v>-3.7929328365145273E-2</v>
      </c>
      <c r="AU29">
        <f t="shared" si="4"/>
        <v>-3.9303573775145276E-2</v>
      </c>
      <c r="AV29">
        <f t="shared" si="4"/>
        <v>-2.7585552465145279E-2</v>
      </c>
      <c r="AW29">
        <f t="shared" si="4"/>
        <v>4.610974482485472E-2</v>
      </c>
      <c r="AX29">
        <f t="shared" si="4"/>
        <v>9.5087319264854711E-2</v>
      </c>
      <c r="AY29">
        <f t="shared" si="4"/>
        <v>-1.3357646785145279E-2</v>
      </c>
      <c r="AZ29">
        <f t="shared" si="4"/>
        <v>4.7046342954854728E-2</v>
      </c>
      <c r="BA29">
        <f t="shared" si="4"/>
        <v>-2.419454050514528E-2</v>
      </c>
      <c r="BB29">
        <f t="shared" si="4"/>
        <v>-3.443601457514528E-2</v>
      </c>
      <c r="BC29">
        <f t="shared" si="5"/>
        <v>1.437372214485472E-2</v>
      </c>
      <c r="BD29">
        <f t="shared" si="5"/>
        <v>6.7472008704854716E-2</v>
      </c>
      <c r="BE29">
        <f t="shared" si="5"/>
        <v>-9.2442984159152794E-3</v>
      </c>
      <c r="BF29">
        <f t="shared" si="5"/>
        <v>8.7421216724854714E-2</v>
      </c>
      <c r="BG29">
        <f t="shared" si="5"/>
        <v>-6.6496498585145281E-2</v>
      </c>
      <c r="BH29">
        <f t="shared" si="5"/>
        <v>2.669361188485472E-2</v>
      </c>
      <c r="BI29">
        <f t="shared" si="5"/>
        <v>7.7241009485472072E-4</v>
      </c>
      <c r="BJ29">
        <f t="shared" si="5"/>
        <v>-5.3134731825145276E-2</v>
      </c>
      <c r="BK29">
        <f t="shared" si="5"/>
        <v>-7.0119976315145285E-2</v>
      </c>
      <c r="BL29">
        <f t="shared" si="5"/>
        <v>7.4249191854854721E-2</v>
      </c>
      <c r="BM29">
        <f t="shared" si="5"/>
        <v>-4.6648385855145275E-2</v>
      </c>
      <c r="BN29">
        <f t="shared" si="5"/>
        <v>8.7755965448547205E-3</v>
      </c>
      <c r="BO29">
        <f t="shared" si="5"/>
        <v>6.6357299374854711E-2</v>
      </c>
      <c r="BP29">
        <f t="shared" si="5"/>
        <v>-0.1680390134351453</v>
      </c>
      <c r="BQ29">
        <f t="shared" si="5"/>
        <v>-2.1805803385145279E-2</v>
      </c>
      <c r="BR29">
        <f t="shared" si="5"/>
        <v>-3.8208333595145277E-2</v>
      </c>
      <c r="BS29">
        <f t="shared" si="6"/>
        <v>5.6666218544854721E-2</v>
      </c>
      <c r="BT29">
        <f t="shared" si="6"/>
        <v>-6.271086285514528E-2</v>
      </c>
      <c r="BU29">
        <f t="shared" si="6"/>
        <v>1.8603999484854722E-2</v>
      </c>
      <c r="BV29">
        <f t="shared" si="6"/>
        <v>6.3009226824854714E-2</v>
      </c>
      <c r="BW29" t="s">
        <v>108</v>
      </c>
      <c r="BX29">
        <v>0</v>
      </c>
      <c r="BY29">
        <f>SUMPRODUCT(Dev_M28,$BX$2:$BX$31)</f>
        <v>1.9168262709301036E-2</v>
      </c>
      <c r="CA29">
        <v>1925002.899</v>
      </c>
    </row>
    <row r="30" spans="1:81" ht="15" thickBot="1" x14ac:dyDescent="0.35">
      <c r="A30" s="14" t="s">
        <v>111</v>
      </c>
      <c r="B30" s="3">
        <v>-0.11662856789999999</v>
      </c>
      <c r="C30" s="3">
        <v>-5.7507037570000002E-2</v>
      </c>
      <c r="D30" s="3">
        <v>0.23692119319999999</v>
      </c>
      <c r="E30" s="3">
        <v>1.7352830900000001E-2</v>
      </c>
      <c r="F30" s="3">
        <v>-1.4491685339999999E-2</v>
      </c>
      <c r="G30" s="3">
        <v>-7.0232912980000006E-2</v>
      </c>
      <c r="H30" s="3">
        <v>2.1704154199999999E-2</v>
      </c>
      <c r="I30" s="3">
        <v>-2.7479016740000001E-2</v>
      </c>
      <c r="J30" s="3">
        <v>-0.1172479679</v>
      </c>
      <c r="K30" s="3">
        <v>3.7768035659999998E-2</v>
      </c>
      <c r="L30" s="3">
        <v>-2.373798077E-2</v>
      </c>
      <c r="M30" s="3">
        <v>5.0947802940000002E-2</v>
      </c>
      <c r="N30" s="3">
        <v>0.1001257602</v>
      </c>
      <c r="O30" s="3">
        <v>5.2960428439999999E-2</v>
      </c>
      <c r="P30" s="3">
        <v>4.5507949020000002E-3</v>
      </c>
      <c r="Q30" s="3">
        <v>-3.5900928239999998E-2</v>
      </c>
      <c r="R30" s="3">
        <v>-2.91913639E-2</v>
      </c>
      <c r="S30" s="3">
        <v>-5.2308568360000002E-2</v>
      </c>
      <c r="T30" s="3">
        <v>4.1459425180000002E-2</v>
      </c>
      <c r="U30" s="3">
        <v>9.0547773969999995E-2</v>
      </c>
      <c r="V30" s="3">
        <v>-0.13065777100000001</v>
      </c>
      <c r="W30" s="3">
        <v>-4.5962438930000002E-2</v>
      </c>
      <c r="X30" s="3">
        <v>8.8061235339999995E-3</v>
      </c>
      <c r="Y30" s="3">
        <v>1.023974708E-2</v>
      </c>
      <c r="Z30" s="3">
        <v>1.842901353E-3</v>
      </c>
      <c r="AA30" s="3">
        <v>1.244273219E-2</v>
      </c>
      <c r="AB30" s="3">
        <v>5.738674346E-2</v>
      </c>
      <c r="AC30" s="3">
        <v>1.3730162590000001E-2</v>
      </c>
      <c r="AD30" s="3">
        <v>6.4698733529999997E-2</v>
      </c>
      <c r="AE30" s="3">
        <v>-0.1181850951</v>
      </c>
      <c r="AF30" s="3">
        <v>-0.15534890060000001</v>
      </c>
      <c r="AG30" s="3">
        <v>-7.9952411680000002E-2</v>
      </c>
      <c r="AH30" s="3">
        <v>8.5256536699999993E-3</v>
      </c>
      <c r="AI30" s="3">
        <v>-5.2612134909999997E-2</v>
      </c>
      <c r="AJ30" s="3">
        <v>7.3815804560000003E-2</v>
      </c>
      <c r="AK30" s="3">
        <v>3.885672783E-2</v>
      </c>
      <c r="AL30">
        <f t="shared" si="3"/>
        <v>-5.0767014591944458E-3</v>
      </c>
      <c r="AM30">
        <f t="shared" si="4"/>
        <v>-0.11155186644080554</v>
      </c>
      <c r="AN30">
        <f t="shared" si="4"/>
        <v>-5.2430336110805553E-2</v>
      </c>
      <c r="AO30">
        <f t="shared" si="4"/>
        <v>0.24199789465919444</v>
      </c>
      <c r="AP30">
        <f t="shared" si="4"/>
        <v>2.2429532359194447E-2</v>
      </c>
      <c r="AQ30">
        <f t="shared" si="4"/>
        <v>-9.4149838808055535E-3</v>
      </c>
      <c r="AR30">
        <f t="shared" si="4"/>
        <v>-6.5156211520805557E-2</v>
      </c>
      <c r="AS30">
        <f t="shared" si="4"/>
        <v>2.6780855659194445E-2</v>
      </c>
      <c r="AT30">
        <f t="shared" si="4"/>
        <v>-2.2402315280805555E-2</v>
      </c>
      <c r="AU30">
        <f t="shared" si="4"/>
        <v>-0.11217126644080555</v>
      </c>
      <c r="AV30">
        <f t="shared" si="4"/>
        <v>4.284473711919444E-2</v>
      </c>
      <c r="AW30">
        <f t="shared" si="4"/>
        <v>-1.8661279310805554E-2</v>
      </c>
      <c r="AX30">
        <f t="shared" si="4"/>
        <v>5.6024504399194444E-2</v>
      </c>
      <c r="AY30">
        <f t="shared" si="4"/>
        <v>0.10520246165919445</v>
      </c>
      <c r="AZ30">
        <f t="shared" si="4"/>
        <v>5.8037129899194448E-2</v>
      </c>
      <c r="BA30">
        <f t="shared" si="4"/>
        <v>9.6274963611944452E-3</v>
      </c>
      <c r="BB30">
        <f t="shared" si="4"/>
        <v>-3.0824226780805552E-2</v>
      </c>
      <c r="BC30">
        <f t="shared" si="5"/>
        <v>-2.4114662440805554E-2</v>
      </c>
      <c r="BD30">
        <f t="shared" si="5"/>
        <v>-4.7231866900805553E-2</v>
      </c>
      <c r="BE30">
        <f t="shared" si="5"/>
        <v>4.6536126639194444E-2</v>
      </c>
      <c r="BF30">
        <f t="shared" si="5"/>
        <v>9.5624475429194444E-2</v>
      </c>
      <c r="BG30">
        <f t="shared" si="5"/>
        <v>-0.12558106954080556</v>
      </c>
      <c r="BH30">
        <f t="shared" si="5"/>
        <v>-4.0885737470805553E-2</v>
      </c>
      <c r="BI30">
        <f t="shared" si="5"/>
        <v>1.3882824993194445E-2</v>
      </c>
      <c r="BJ30">
        <f t="shared" si="5"/>
        <v>1.5316448539194446E-2</v>
      </c>
      <c r="BK30">
        <f t="shared" si="5"/>
        <v>6.9196028121944458E-3</v>
      </c>
      <c r="BL30">
        <f t="shared" si="5"/>
        <v>1.7519433649194446E-2</v>
      </c>
      <c r="BM30">
        <f t="shared" si="5"/>
        <v>6.246344491919445E-2</v>
      </c>
      <c r="BN30">
        <f t="shared" si="5"/>
        <v>1.8806864049194447E-2</v>
      </c>
      <c r="BO30">
        <f t="shared" si="5"/>
        <v>6.9775434989194446E-2</v>
      </c>
      <c r="BP30">
        <f t="shared" si="5"/>
        <v>-0.11310839364080555</v>
      </c>
      <c r="BQ30">
        <f t="shared" si="5"/>
        <v>-0.15027219914080556</v>
      </c>
      <c r="BR30">
        <f t="shared" si="5"/>
        <v>-7.4875710220805552E-2</v>
      </c>
      <c r="BS30">
        <f t="shared" si="6"/>
        <v>1.3602355129194445E-2</v>
      </c>
      <c r="BT30">
        <f t="shared" si="6"/>
        <v>-4.7535433450805548E-2</v>
      </c>
      <c r="BU30">
        <f t="shared" si="6"/>
        <v>7.8892506019194453E-2</v>
      </c>
      <c r="BV30">
        <f t="shared" si="6"/>
        <v>4.3933429289194442E-2</v>
      </c>
      <c r="BW30" t="s">
        <v>108</v>
      </c>
      <c r="BX30">
        <v>0</v>
      </c>
      <c r="BY30">
        <f>SUMPRODUCT(Dev_M29,$BX$2:$BX$31)</f>
        <v>4.3542552334226211E-3</v>
      </c>
      <c r="CA30">
        <v>5422264.8310000002</v>
      </c>
    </row>
    <row r="31" spans="1:81" ht="15" thickBot="1" x14ac:dyDescent="0.35">
      <c r="A31" s="14" t="s">
        <v>112</v>
      </c>
      <c r="B31" s="3">
        <v>0.1123885035</v>
      </c>
      <c r="C31" s="3">
        <v>-4.9728603539999999E-2</v>
      </c>
      <c r="D31" s="3">
        <v>0.12520193860000001</v>
      </c>
      <c r="E31" s="3">
        <v>-3.913701159E-2</v>
      </c>
      <c r="F31" s="3">
        <v>2.542859049E-2</v>
      </c>
      <c r="G31" s="3">
        <v>-1.9906064189999999E-2</v>
      </c>
      <c r="H31" s="3">
        <v>0.1581686158</v>
      </c>
      <c r="I31" s="3">
        <v>-1.257364234E-2</v>
      </c>
      <c r="J31" s="3">
        <v>2.3563825470000002E-3</v>
      </c>
      <c r="K31" s="3">
        <v>3.3386603670000001E-2</v>
      </c>
      <c r="L31" s="3">
        <v>-3.1288171679999997E-2</v>
      </c>
      <c r="M31" s="3">
        <v>5.3538169660000003E-2</v>
      </c>
      <c r="N31" s="3">
        <v>2.2729518729999999E-2</v>
      </c>
      <c r="O31" s="3">
        <v>7.8912616360000007E-2</v>
      </c>
      <c r="P31" s="3">
        <v>-4.5894657229999997E-2</v>
      </c>
      <c r="Q31" s="3">
        <v>-6.8044097250000005E-2</v>
      </c>
      <c r="R31" s="3">
        <v>1.553354597E-2</v>
      </c>
      <c r="S31" s="3">
        <v>-2.4387556059999999E-2</v>
      </c>
      <c r="T31" s="3">
        <v>9.6272450019999997E-2</v>
      </c>
      <c r="U31" s="3">
        <v>0.100110249</v>
      </c>
      <c r="V31" s="3">
        <v>-2.6234206560000001E-2</v>
      </c>
      <c r="W31" s="3">
        <v>-4.4859956909999998E-2</v>
      </c>
      <c r="X31" s="3">
        <v>-1.086562475E-2</v>
      </c>
      <c r="Y31" s="3">
        <v>-2.7548994659999999E-2</v>
      </c>
      <c r="Z31" s="3">
        <v>8.4559092959999999E-2</v>
      </c>
      <c r="AA31" s="3">
        <v>5.7096799099999998E-2</v>
      </c>
      <c r="AB31" s="3">
        <v>5.6414424120000001E-2</v>
      </c>
      <c r="AC31" s="3">
        <v>1.223971164E-2</v>
      </c>
      <c r="AD31" s="3">
        <v>8.2472994320000007E-2</v>
      </c>
      <c r="AE31" s="3">
        <v>-9.6439812880000003E-2</v>
      </c>
      <c r="AF31" s="3">
        <v>-0.13720337360000001</v>
      </c>
      <c r="AG31" s="3">
        <v>-3.610495532E-2</v>
      </c>
      <c r="AH31" s="3">
        <v>7.7035326230000006E-2</v>
      </c>
      <c r="AI31" s="3">
        <v>-0.1041396587</v>
      </c>
      <c r="AJ31" s="3">
        <v>7.4301754999999997E-2</v>
      </c>
      <c r="AK31" s="3">
        <v>9.7956207340000004E-2</v>
      </c>
      <c r="AL31">
        <f t="shared" si="3"/>
        <v>1.6437419661027779E-2</v>
      </c>
      <c r="AM31">
        <f t="shared" si="4"/>
        <v>9.5951083838972218E-2</v>
      </c>
      <c r="AN31">
        <f t="shared" si="4"/>
        <v>-6.6166023201027782E-2</v>
      </c>
      <c r="AO31">
        <f t="shared" si="4"/>
        <v>0.10876451893897222</v>
      </c>
      <c r="AP31">
        <f t="shared" si="4"/>
        <v>-5.5574431251027775E-2</v>
      </c>
      <c r="AQ31">
        <f t="shared" si="4"/>
        <v>8.9911708289722204E-3</v>
      </c>
      <c r="AR31">
        <f t="shared" si="4"/>
        <v>-3.6343483851027779E-2</v>
      </c>
      <c r="AS31">
        <f t="shared" si="4"/>
        <v>0.14173119613897223</v>
      </c>
      <c r="AT31">
        <f t="shared" si="4"/>
        <v>-2.9011062001027779E-2</v>
      </c>
      <c r="AU31">
        <f t="shared" si="4"/>
        <v>-1.408103711402778E-2</v>
      </c>
      <c r="AV31">
        <f t="shared" si="4"/>
        <v>1.6949184008972221E-2</v>
      </c>
      <c r="AW31">
        <f t="shared" si="4"/>
        <v>-4.7725591341027773E-2</v>
      </c>
      <c r="AX31">
        <f t="shared" si="4"/>
        <v>3.7100749998972227E-2</v>
      </c>
      <c r="AY31">
        <f t="shared" si="4"/>
        <v>6.2920990689722192E-3</v>
      </c>
      <c r="AZ31">
        <f t="shared" si="4"/>
        <v>6.2475196698972224E-2</v>
      </c>
      <c r="BA31">
        <f t="shared" si="4"/>
        <v>-6.2332076891027779E-2</v>
      </c>
      <c r="BB31">
        <f t="shared" si="4"/>
        <v>-8.4481516911027787E-2</v>
      </c>
      <c r="BC31">
        <f t="shared" si="5"/>
        <v>-9.0387369102777962E-4</v>
      </c>
      <c r="BD31">
        <f t="shared" si="5"/>
        <v>-4.0824975721027779E-2</v>
      </c>
      <c r="BE31">
        <f t="shared" si="5"/>
        <v>7.9835030358972214E-2</v>
      </c>
      <c r="BF31">
        <f t="shared" si="5"/>
        <v>8.3672829338972216E-2</v>
      </c>
      <c r="BG31">
        <f t="shared" si="5"/>
        <v>-4.2671626221027784E-2</v>
      </c>
      <c r="BH31">
        <f t="shared" si="5"/>
        <v>-6.1297376571027781E-2</v>
      </c>
      <c r="BI31">
        <f t="shared" si="5"/>
        <v>-2.730304441102778E-2</v>
      </c>
      <c r="BJ31">
        <f t="shared" si="5"/>
        <v>-4.3986414321027775E-2</v>
      </c>
      <c r="BK31">
        <f t="shared" si="5"/>
        <v>6.8121673298972216E-2</v>
      </c>
      <c r="BL31">
        <f t="shared" si="5"/>
        <v>4.0659379438972215E-2</v>
      </c>
      <c r="BM31">
        <f t="shared" si="5"/>
        <v>3.9977004458972218E-2</v>
      </c>
      <c r="BN31">
        <f t="shared" si="5"/>
        <v>-4.1977080210277799E-3</v>
      </c>
      <c r="BO31">
        <f t="shared" si="5"/>
        <v>6.6035574658972224E-2</v>
      </c>
      <c r="BP31">
        <f t="shared" si="5"/>
        <v>-0.11287723254102779</v>
      </c>
      <c r="BQ31">
        <f t="shared" si="5"/>
        <v>-0.15364079326102778</v>
      </c>
      <c r="BR31">
        <f t="shared" si="5"/>
        <v>-5.2542374981027776E-2</v>
      </c>
      <c r="BS31">
        <f t="shared" si="6"/>
        <v>6.0597906568972223E-2</v>
      </c>
      <c r="BT31">
        <f t="shared" si="6"/>
        <v>-0.12057707836102778</v>
      </c>
      <c r="BU31">
        <f t="shared" si="6"/>
        <v>5.7864335338972214E-2</v>
      </c>
      <c r="BV31">
        <f t="shared" si="6"/>
        <v>8.1518787678972221E-2</v>
      </c>
      <c r="BW31" t="s">
        <v>108</v>
      </c>
      <c r="BX31">
        <v>0</v>
      </c>
      <c r="BY31">
        <f>SUMPRODUCT(Dev_M30,$BX$2:$BX$31)</f>
        <v>-5.1873731455565258E-2</v>
      </c>
      <c r="CA31">
        <v>1731412.736</v>
      </c>
    </row>
    <row r="32" spans="1:81" ht="15" thickBot="1" x14ac:dyDescent="0.35">
      <c r="BV32" s="2" t="s">
        <v>116</v>
      </c>
      <c r="BX32" s="7">
        <f>SUM(Investment_Weight__x)</f>
        <v>0.99999999999999967</v>
      </c>
      <c r="BY32">
        <f>SUMPRODUCT(Dev_M31,$BX$2:$BX$31)</f>
        <v>-7.2262981416387397E-3</v>
      </c>
      <c r="CA32" s="5">
        <f>AVERAGE(CA2:CA31)</f>
        <v>28942267.5449</v>
      </c>
      <c r="CC32" s="2" t="s">
        <v>119</v>
      </c>
    </row>
    <row r="33" spans="74:77" ht="15" thickTop="1" x14ac:dyDescent="0.3">
      <c r="BV33" s="2" t="s">
        <v>117</v>
      </c>
      <c r="BX33" s="8">
        <f>SUMPRODUCT(AVERAGE_RETURN,Investment_Weight__x)</f>
        <v>1.2051751922890997E-2</v>
      </c>
      <c r="BY33">
        <f>SUMPRODUCT(Dev_M32,$BX$2:$BX$31)</f>
        <v>-1.3403743590469343E-2</v>
      </c>
    </row>
    <row r="34" spans="74:77" x14ac:dyDescent="0.3">
      <c r="BV34" s="2" t="s">
        <v>118</v>
      </c>
      <c r="BX34" s="9">
        <f>SUMPRODUCT(CA2:CA31,BX2:BX31)</f>
        <v>42999667.317737415</v>
      </c>
      <c r="BY34">
        <f>SUMPRODUCT(Dev_M33,$BX$2:$BX$31)</f>
        <v>-3.0501227552812267E-2</v>
      </c>
    </row>
    <row r="35" spans="74:77" x14ac:dyDescent="0.3">
      <c r="BY35">
        <f>SUMPRODUCT(Dev_M34,$BX$2:$BX$31)</f>
        <v>-4.9005906882655069E-2</v>
      </c>
    </row>
    <row r="36" spans="74:77" x14ac:dyDescent="0.3">
      <c r="BY36">
        <f>SUMPRODUCT(Dev_M35,$BX$2:$BX$31)</f>
        <v>3.4343172848824696E-2</v>
      </c>
    </row>
    <row r="37" spans="74:77" x14ac:dyDescent="0.3">
      <c r="BY37">
        <f>SUMPRODUCT(Dev_M36,$BX$2:$BX$31)</f>
        <v>1.7926784022457079E-2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Sheet1</vt:lpstr>
      <vt:lpstr>AVERAGE_RETURN</vt:lpstr>
      <vt:lpstr>Dev_M1</vt:lpstr>
      <vt:lpstr>Dev_M20</vt:lpstr>
      <vt:lpstr>Dev_M21</vt:lpstr>
      <vt:lpstr>Dev_M22</vt:lpstr>
      <vt:lpstr>Dev_M23</vt:lpstr>
      <vt:lpstr>Dev_M24</vt:lpstr>
      <vt:lpstr>Dev_M25</vt:lpstr>
      <vt:lpstr>Dev_M26</vt:lpstr>
      <vt:lpstr>Dev_M27</vt:lpstr>
      <vt:lpstr>Dev_M28</vt:lpstr>
      <vt:lpstr>Dev_M29</vt:lpstr>
      <vt:lpstr>Dev_M30</vt:lpstr>
      <vt:lpstr>Dev_M31</vt:lpstr>
      <vt:lpstr>Dev_M32</vt:lpstr>
      <vt:lpstr>Dev_M33</vt:lpstr>
      <vt:lpstr>Dev_M34</vt:lpstr>
      <vt:lpstr>Dev_M35</vt:lpstr>
      <vt:lpstr>Dev_M36</vt:lpstr>
      <vt:lpstr>Investment_Weight__x</vt:lpstr>
      <vt:lpstr>Weighted_monthly_deviation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Aasia Parveen</dc:creator>
  <cp:lastModifiedBy>Aasia Parveen</cp:lastModifiedBy>
  <dcterms:created xsi:type="dcterms:W3CDTF">2025-04-29T16:08:53Z</dcterms:created>
  <dcterms:modified xsi:type="dcterms:W3CDTF">2025-05-01T06:50:09Z</dcterms:modified>
</cp:coreProperties>
</file>